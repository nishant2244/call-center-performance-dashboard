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ed4ab2f727ca551c/Pictures/roadmap/Projects/"/>
    </mc:Choice>
  </mc:AlternateContent>
  <xr:revisionPtr revIDLastSave="42" documentId="8_{6C82837D-44A3-453C-A23D-48C21A3D923B}" xr6:coauthVersionLast="47" xr6:coauthVersionMax="47" xr10:uidLastSave="{D4B6C411-B2B9-4F35-B0FF-9424A4078120}"/>
  <bookViews>
    <workbookView xWindow="-108" yWindow="-108" windowWidth="23256" windowHeight="12456" activeTab="2" xr2:uid="{26D4546B-D2A1-4444-8EAF-A6228F96F0C1}"/>
  </bookViews>
  <sheets>
    <sheet name="Sheet2" sheetId="6" r:id="rId1"/>
    <sheet name="Data" sheetId="2" r:id="rId2"/>
    <sheet name="Sheet1" sheetId="5" r:id="rId3"/>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4"/>
    <pivotCache cacheId="1" r:id="rId5"/>
    <pivotCache cacheId="2" r:id="rId6"/>
    <pivotCache cacheId="3" r:id="rId7"/>
    <pivotCache cacheId="4" r:id="rId8"/>
    <pivotCache cacheId="58" r:id="rId9"/>
    <pivotCache cacheId="61" r:id="rId10"/>
    <pivotCache cacheId="64" r:id="rId11"/>
    <pivotCache cacheId="67" r:id="rId12"/>
    <pivotCache cacheId="70"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1" i="5" l="1" a="1"/>
  <c r="W21" i="5" s="1"/>
  <c r="V22" i="5" a="1"/>
  <c r="V22" i="5" s="1"/>
  <c r="M10" i="5"/>
  <c r="L1003" i="2"/>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B59" i="6" a="1"/>
  <c r="B59" i="6" s="1"/>
  <c r="N47" i="6"/>
  <c r="E60" i="6" l="1"/>
  <c r="E61" i="6"/>
  <c r="E63" i="6"/>
  <c r="F60" i="6"/>
  <c r="F61" i="6"/>
  <c r="E62" i="6"/>
  <c r="F62" i="6"/>
  <c r="F63" i="6"/>
  <c r="E59" i="6"/>
  <c r="F5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A7FFA9-EAC2-4CE0-9D5E-F75C384456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F4FAF83-393F-47E2-AD9C-9DAB489EE987}"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5671ADD0-C188-4AF6-AA10-C1C1E2C4D575}"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<sst xmlns="http://schemas.openxmlformats.org/spreadsheetml/2006/main" count="3161" uniqueCount="1075">
  <si>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</si>
  <si>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</si>
  <si>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</si>
  <si>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</si>
  <si>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</si>
  <si>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</si>
  <si>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</si>
  <si>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</si>
  <si>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</si>
  <si>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</si>
  <si>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</si>
  <si>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</si>
  <si>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</si>
  <si>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</si>
  <si>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</si>
  <si>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</si>
  <si>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</si>
  <si>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</si>
  <si>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</si>
  <si>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</si>
  <si>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</si>
  <si>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</si>
  <si>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</si>
  <si>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</si>
  <si>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</si>
  <si>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</si>
  <si>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</si>
  <si>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</si>
  <si>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</si>
  <si>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</si>
  <si>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</si>
  <si>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</si>
  <si>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</si>
  <si>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</si>
  <si>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</si>
  <si>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</si>
  <si>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</si>
  <si>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</si>
  <si>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</si>
  <si>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</si>
  <si>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</si>
  <si>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</si>
  <si>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</si>
  <si>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</si>
  <si>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</si>
  <si>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</si>
  <si>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</si>
  <si>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</si>
  <si>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</si>
  <si>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</si>
  <si>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</si>
  <si>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</si>
  <si>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</si>
  <si>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</si>
  <si>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</si>
  <si>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</si>
  <si>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</si>
  <si>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</si>
  <si>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</si>
  <si>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</si>
  <si>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</si>
  <si>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</si>
  <si>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</si>
  <si>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</si>
  <si>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</si>
  <si>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</si>
  <si>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</si>
  <si>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</si>
  <si>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</si>
  <si>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</si>
  <si>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</si>
  <si>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</si>
  <si>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</si>
  <si>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</si>
  <si>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</si>
  <si>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</si>
  <si>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</si>
  <si>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</si>
  <si>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</si>
  <si>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</si>
  <si>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</si>
  <si>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</si>
  <si>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</si>
  <si>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</si>
  <si>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</si>
  <si>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</si>
  <si>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</si>
  <si>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</si>
  <si>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</si>
  <si>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</si>
  <si>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</si>
  <si>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</si>
  <si>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</si>
  <si>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</si>
  <si>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</si>
  <si>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</si>
  <si>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</si>
  <si>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</si>
  <si>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</si>
  <si>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</si>
  <si>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</si>
  <si>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</si>
  <si>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</si>
  <si>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</si>
  <si>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</si>
  <si>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</si>
  <si>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</si>
  <si>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</si>
  <si>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</si>
  <si>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</si>
  <si>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</si>
  <si>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</si>
  <si>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</si>
  <si>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</si>
  <si>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</si>
  <si>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</si>
  <si>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</si>
  <si>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</si>
  <si>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</si>
  <si>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</si>
  <si>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</si>
  <si>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</si>
  <si>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</si>
  <si>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</si>
  <si>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</si>
  <si>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</si>
  <si>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</si>
  <si>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</si>
  <si>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</si>
  <si>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</si>
  <si>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</si>
  <si>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</si>
  <si>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</si>
  <si>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</si>
  <si>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</si>
  <si>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</si>
  <si>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</si>
  <si>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</si>
  <si>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</si>
  <si>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</si>
  <si>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</si>
  <si>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</si>
  <si>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</si>
  <si>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</si>
  <si>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</si>
  <si>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</si>
  <si>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</si>
  <si>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</si>
  <si>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</si>
  <si>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</si>
  <si>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</si>
  <si>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</si>
  <si>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</si>
  <si>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</si>
  <si>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</si>
  <si>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</si>
  <si>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</si>
  <si>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</si>
  <si>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</si>
  <si>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</si>
  <si>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</si>
  <si>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</si>
  <si>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</si>
  <si>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</si>
  <si>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</si>
  <si>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</si>
  <si>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</si>
  <si>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</si>
  <si>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</si>
  <si>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</si>
  <si>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</si>
  <si>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</si>
  <si>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</si>
  <si>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</si>
  <si>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</si>
  <si>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</si>
  <si>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</si>
  <si>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</si>
  <si>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</si>
  <si>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</si>
  <si>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</si>
  <si>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</si>
  <si>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</si>
  <si>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</si>
  <si>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</si>
  <si>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</si>
  <si>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</si>
  <si>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</si>
  <si>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</si>
  <si>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</si>
  <si>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</si>
  <si>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</si>
  <si>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</si>
  <si>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</si>
  <si>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</si>
  <si>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</si>
  <si>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</si>
  <si>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</si>
  <si>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</si>
  <si>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</si>
  <si>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</si>
  <si>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</si>
  <si>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</si>
  <si>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</si>
  <si>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</si>
  <si>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</si>
  <si>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</si>
  <si>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</si>
  <si>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</si>
  <si>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</si>
  <si>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</si>
  <si>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</si>
  <si>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</si>
  <si>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</si>
  <si>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</si>
  <si>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</si>
  <si>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</si>
  <si>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</si>
  <si>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</si>
  <si>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</si>
  <si>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</si>
  <si>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</si>
  <si>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</si>
  <si>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</si>
  <si>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</si>
  <si>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</si>
  <si>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</si>
  <si>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</si>
  <si>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</si>
  <si>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</si>
  <si>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</si>
  <si>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</si>
  <si>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</si>
  <si>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</si>
  <si>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</si>
  <si>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</si>
  <si>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</si>
  <si>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</si>
  <si>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</si>
  <si>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</si>
  <si>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</si>
  <si>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</si>
  <si>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</si>
  <si>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</si>
  <si>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</si>
  <si>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</si>
  <si>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</si>
  <si>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</si>
  <si>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</si>
  <si>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</si>
  <si>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</si>
  <si>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</si>
  <si>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</si>
  <si>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</si>
  <si>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</si>
  <si>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</si>
  <si>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</si>
  <si>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</si>
  <si>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</si>
  <si>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</si>
  <si>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</si>
  <si>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</si>
  <si>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</si>
  <si>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</si>
  <si>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</si>
  <si>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</si>
  <si>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</si>
  <si>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</si>
  <si>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</si>
  <si>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</si>
  <si>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</si>
  <si>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</si>
  <si>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</si>
  <si>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</si>
  <si>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</si>
  <si>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</si>
  <si>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</si>
  <si>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</si>
  <si>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</si>
  <si>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</si>
  <si>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</si>
  <si>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</si>
  <si>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</si>
  <si>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</si>
  <si>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</si>
  <si>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</si>
  <si>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</si>
  <si>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</si>
  <si>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</si>
  <si>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</si>
  <si>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</si>
  <si>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</si>
  <si>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</si>
  <si>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</si>
  <si>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</si>
  <si>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</si>
  <si>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</si>
  <si>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</si>
  <si>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</si>
  <si>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</si>
  <si>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</si>
  <si>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</si>
  <si>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</si>
  <si>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</si>
  <si>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</si>
  <si>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</si>
  <si>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</si>
  <si>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</si>
  <si>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</si>
  <si>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</si>
  <si>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</si>
  <si>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</si>
  <si>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</si>
  <si>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</si>
  <si>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</si>
  <si>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</si>
  <si>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</si>
  <si>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</si>
  <si>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</si>
  <si>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</si>
  <si>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</si>
  <si>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</si>
  <si>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</si>
  <si>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</si>
  <si>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</si>
  <si>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</si>
  <si>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</si>
  <si>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</si>
  <si>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</si>
  <si>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</si>
  <si>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</si>
  <si>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</si>
  <si>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</si>
  <si>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</si>
  <si>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</si>
  <si>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</si>
  <si>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</si>
  <si>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</si>
  <si>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</si>
  <si>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</si>
  <si>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</si>
  <si>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</si>
  <si>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</si>
  <si>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</si>
  <si>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</si>
  <si>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</si>
  <si>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</si>
  <si>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</si>
  <si>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</si>
  <si>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</si>
  <si>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</si>
  <si>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</si>
  <si>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</si>
  <si>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</si>
  <si>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</si>
  <si>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</si>
  <si>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</si>
  <si>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</si>
  <si>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</si>
  <si>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</si>
  <si>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</si>
  <si>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</si>
  <si>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</si>
  <si>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</si>
  <si>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</si>
  <si>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</si>
  <si>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</si>
  <si>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</si>
  <si>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</si>
  <si>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</si>
  <si>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</si>
  <si>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</si>
  <si>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</si>
  <si>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</si>
  <si>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</si>
  <si>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</si>
  <si>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</si>
  <si>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</si>
  <si>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</si>
  <si>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</si>
  <si>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</si>
  <si>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</si>
  <si>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</si>
  <si>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</si>
  <si>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</si>
  <si>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</si>
  <si>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</si>
  <si>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</si>
  <si>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</si>
  <si>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</si>
  <si>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</si>
  <si>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</si>
  <si>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</si>
  <si>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</si>
  <si>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</si>
  <si>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</si>
  <si>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</si>
  <si>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</si>
  <si>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</si>
  <si>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</si>
  <si>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</si>
  <si>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</si>
  <si>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</si>
  <si>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</si>
  <si>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</si>
  <si>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</si>
  <si>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</si>
  <si>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</si>
  <si>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</si>
  <si>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</si>
  <si>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</si>
  <si>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</si>
  <si>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</si>
  <si>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</si>
  <si>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</si>
  <si>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</si>
  <si>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</si>
  <si>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</si>
  <si>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</si>
  <si>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</si>
  <si>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</si>
  <si>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</si>
  <si>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</si>
  <si>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</si>
  <si>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</si>
  <si>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</si>
  <si>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</si>
  <si>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</si>
  <si>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</si>
  <si>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</si>
  <si>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</si>
  <si>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</si>
  <si>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</si>
  <si>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</si>
  <si>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</si>
  <si>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</si>
  <si>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</si>
  <si>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</si>
  <si>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</si>
  <si>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</si>
  <si>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</si>
  <si>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</si>
  <si>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</si>
  <si>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</si>
  <si>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</si>
  <si>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</si>
  <si>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</si>
  <si>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</si>
  <si>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</si>
  <si>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</si>
  <si>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</si>
  <si>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</si>
  <si>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</si>
  <si>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</si>
  <si>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</si>
  <si>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</si>
  <si>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</si>
  <si>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</si>
  <si>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</si>
  <si>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</si>
  <si>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</si>
  <si>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</si>
  <si>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</si>
  <si>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</si>
  <si>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</si>
  <si>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</si>
  <si>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</si>
  <si>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</si>
  <si>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</si>
  <si>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</si>
  <si>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</si>
  <si>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</si>
  <si>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</si>
  <si>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</si>
  <si>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</si>
  <si>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</si>
  <si>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</si>
  <si>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</si>
  <si>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</si>
  <si>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</si>
  <si>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</si>
  <si>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</si>
  <si>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</si>
  <si>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</si>
  <si>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</si>
  <si>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</si>
  <si>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</si>
  <si>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</si>
  <si>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</si>
  <si>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</si>
  <si>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</si>
  <si>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</si>
  <si>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</si>
  <si>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</si>
  <si>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</si>
  <si>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</si>
  <si>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</si>
  <si>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</si>
  <si>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</si>
  <si>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</si>
  <si>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</si>
  <si>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</si>
  <si>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</si>
  <si>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</si>
  <si>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</si>
  <si>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</si>
  <si>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</si>
  <si>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</si>
  <si>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</si>
  <si>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</si>
  <si>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</si>
  <si>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</si>
  <si>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</si>
  <si>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</si>
  <si>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</si>
  <si>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</si>
  <si>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</si>
  <si>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</si>
  <si>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</si>
  <si>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</si>
  <si>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</si>
  <si>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</si>
  <si>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</si>
  <si>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</si>
  <si>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</si>
  <si>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</si>
  <si>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</si>
  <si>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</si>
  <si>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</si>
  <si>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</si>
  <si>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</si>
  <si>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</si>
  <si>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</si>
  <si>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</si>
  <si>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</si>
  <si>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</si>
  <si>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</si>
  <si>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</si>
  <si>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</si>
  <si>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</si>
  <si>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</si>
  <si>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</si>
  <si>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</si>
  <si>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</si>
  <si>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</si>
  <si>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</si>
  <si>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</si>
  <si>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</si>
  <si>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</si>
  <si>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</si>
  <si>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</si>
  <si>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</si>
  <si>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</si>
  <si>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</si>
  <si>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</si>
  <si>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</si>
  <si>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</si>
  <si>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</si>
  <si>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</si>
  <si>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</si>
  <si>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</si>
  <si>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</si>
  <si>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</si>
  <si>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</si>
  <si>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</si>
  <si>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</si>
  <si>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</si>
  <si>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</si>
  <si>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</si>
  <si>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</si>
  <si>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</si>
  <si>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</si>
  <si>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</si>
  <si>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</si>
  <si>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</si>
  <si>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</si>
  <si>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</si>
  <si>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</si>
  <si>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</si>
  <si>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</si>
  <si>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</si>
  <si>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</si>
  <si>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</si>
  <si>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</si>
  <si>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</si>
  <si>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</si>
  <si>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</si>
  <si>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</si>
  <si>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</si>
  <si>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</si>
  <si>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</si>
  <si>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</si>
  <si>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</si>
  <si>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</si>
  <si>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</si>
  <si>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</si>
  <si>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</si>
  <si>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</si>
  <si>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</si>
  <si>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</si>
  <si>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</si>
  <si>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</si>
  <si>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</si>
  <si>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</si>
  <si>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</si>
  <si>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</si>
  <si>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</si>
  <si>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</si>
  <si>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</si>
  <si>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</si>
  <si>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</si>
  <si>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</si>
  <si>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</si>
  <si>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</si>
  <si>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</si>
  <si>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</si>
  <si>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</si>
  <si>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</si>
  <si>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</si>
  <si>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</si>
  <si>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</si>
  <si>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</si>
  <si>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</si>
  <si>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</si>
  <si>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</si>
  <si>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</si>
  <si>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</si>
  <si>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</si>
  <si>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</si>
  <si>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</si>
  <si>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</si>
  <si>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</si>
  <si>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</si>
  <si>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</si>
  <si>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</si>
  <si>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</si>
  <si>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</si>
  <si>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</si>
  <si>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</si>
  <si>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</si>
  <si>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</si>
  <si>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</si>
  <si>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</si>
  <si>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</si>
  <si>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</si>
  <si>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</si>
  <si>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</si>
  <si>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</si>
  <si>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</si>
  <si>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</si>
  <si>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</si>
  <si>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</si>
  <si>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</si>
  <si>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</si>
  <si>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</si>
  <si>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</si>
  <si>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</si>
  <si>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</si>
  <si>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</si>
  <si>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</si>
  <si>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</si>
  <si>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</si>
  <si>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</si>
  <si>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</si>
  <si>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</si>
  <si>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</si>
  <si>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</si>
  <si>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</si>
  <si>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</si>
  <si>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</si>
  <si>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</si>
  <si>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</si>
  <si>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</si>
  <si>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</si>
  <si>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</si>
  <si>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</si>
  <si>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</si>
  <si>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</si>
  <si>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</si>
  <si>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</si>
  <si>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</si>
  <si>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</si>
  <si>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</si>
  <si>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</si>
  <si>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</si>
  <si>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</si>
  <si>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</si>
  <si>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</si>
  <si>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</si>
  <si>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</si>
  <si>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</si>
  <si>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</si>
  <si>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</si>
  <si>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</si>
  <si>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</si>
  <si>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</si>
  <si>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</si>
  <si>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</si>
  <si>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</si>
  <si>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</si>
  <si>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</si>
  <si>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</si>
  <si>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</si>
  <si>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</si>
  <si>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</si>
  <si>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</si>
  <si>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</si>
  <si>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</si>
  <si>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</si>
  <si>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</si>
  <si>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</si>
  <si>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</si>
  <si>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</si>
  <si>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</si>
  <si>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</si>
  <si>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</si>
  <si>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</si>
  <si>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</si>
  <si>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</si>
  <si>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</si>
  <si>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</si>
  <si>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</si>
  <si>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</si>
  <si>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</si>
  <si>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</si>
  <si>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</si>
  <si>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</si>
  <si>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</si>
  <si>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</si>
  <si>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</si>
  <si>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</si>
  <si>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</si>
  <si>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</si>
  <si>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</si>
  <si>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</si>
  <si>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</si>
  <si>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</si>
  <si>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</si>
  <si>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</si>
  <si>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</si>
  <si>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</si>
  <si>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</si>
  <si>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</si>
  <si>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</si>
  <si>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</si>
  <si>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</si>
  <si>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</si>
  <si>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</si>
  <si>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</si>
  <si>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</si>
  <si>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</si>
  <si>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</si>
  <si>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</si>
  <si>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</si>
  <si>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</si>
  <si>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</si>
  <si>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</si>
  <si>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</si>
  <si>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</si>
  <si>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</si>
  <si>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</si>
  <si>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</si>
  <si>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</si>
  <si>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</si>
  <si>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</si>
  <si>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</si>
  <si>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</si>
  <si>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</si>
  <si>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</si>
  <si>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</si>
  <si>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</si>
  <si>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</si>
  <si>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</si>
  <si>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</si>
  <si>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</si>
  <si>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</si>
  <si>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</si>
  <si>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</si>
  <si>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</si>
  <si>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</si>
  <si>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</si>
  <si>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</si>
  <si>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</si>
  <si>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</si>
  <si>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</si>
  <si>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</si>
  <si>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</si>
  <si>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</si>
  <si>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</si>
  <si>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</si>
  <si>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</si>
  <si>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</si>
  <si>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</si>
  <si>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</si>
  <si>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</si>
  <si>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</si>
  <si>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</si>
  <si>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</si>
  <si>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</si>
  <si>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</si>
  <si>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</si>
  <si>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</si>
  <si>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</si>
  <si>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</si>
  <si>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</si>
  <si>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</si>
  <si>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</si>
  <si>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</si>
  <si>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</si>
  <si>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</si>
  <si>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</si>
  <si>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</si>
  <si>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</si>
  <si>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</si>
  <si>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</si>
  <si>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</si>
  <si>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</si>
  <si>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</si>
  <si>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</si>
  <si>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</si>
  <si>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</si>
  <si>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</si>
  <si>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</si>
  <si>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</si>
  <si>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</si>
  <si>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</si>
  <si>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</si>
  <si>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</si>
  <si>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</si>
  <si>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</si>
  <si>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</si>
  <si>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</si>
  <si>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</si>
  <si>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</si>
  <si>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</si>
  <si>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</si>
  <si>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</si>
  <si>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</si>
  <si>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</si>
  <si>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</si>
  <si>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</si>
  <si>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</si>
  <si>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</si>
  <si>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</si>
  <si>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</si>
  <si>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</si>
  <si>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</si>
  <si>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</si>
  <si>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</si>
  <si>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</si>
  <si>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</si>
  <si>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</si>
  <si>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</si>
  <si>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</si>
  <si>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</si>
  <si>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</si>
  <si>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</si>
  <si>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</si>
  <si>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</si>
  <si>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</si>
  <si>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</si>
  <si>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</si>
  <si>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</si>
  <si>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</si>
  <si>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</si>
  <si>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</si>
  <si>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</si>
  <si>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</si>
  <si>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</si>
  <si>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</si>
  <si>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</si>
  <si>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</si>
  <si>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</si>
  <si>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</si>
  <si>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</si>
  <si>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</si>
  <si>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</si>
  <si>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</si>
  <si>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</si>
  <si>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</si>
  <si>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</si>
  <si>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</si>
  <si>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</si>
  <si>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</si>
  <si>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</si>
  <si>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</si>
  <si>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</si>
  <si>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</si>
  <si>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</si>
  <si>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</si>
  <si>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</si>
  <si>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</si>
  <si>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</si>
  <si>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</si>
  <si>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</si>
  <si>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</si>
  <si>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</si>
  <si>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</si>
  <si>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</si>
  <si>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</si>
  <si>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</si>
  <si>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</si>
  <si>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</si>
  <si>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</si>
  <si>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</si>
  <si>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</si>
  <si>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</si>
  <si>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</si>
  <si>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</si>
  <si>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</si>
  <si>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</si>
  <si>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</si>
  <si>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</si>
  <si>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</si>
  <si>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</si>
  <si>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</si>
  <si>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</si>
  <si>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</si>
  <si>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</si>
  <si>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</si>
  <si>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</si>
  <si>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</si>
  <si>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</si>
  <si>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</si>
  <si>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</si>
  <si>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</si>
  <si>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</si>
  <si>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</si>
  <si>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</si>
  <si>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</si>
  <si>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</si>
  <si>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</si>
  <si>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</si>
  <si>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</si>
  <si>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</si>
  <si>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</si>
  <si>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</si>
  <si>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</si>
  <si>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</si>
  <si>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</si>
  <si>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</si>
  <si>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</si>
  <si>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</si>
  <si>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</si>
  <si>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</si>
  <si>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</si>
  <si>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</si>
  <si>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</si>
  <si>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</si>
  <si>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</si>
  <si>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</si>
  <si>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</si>
  <si>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</si>
  <si>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</si>
  <si>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</si>
  <si>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</si>
  <si>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</si>
  <si>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</si>
  <si>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</si>
  <si>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</si>
  <si>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</si>
  <si>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</si>
  <si>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</si>
  <si>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</si>
  <si>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</si>
  <si>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</si>
  <si>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</si>
  <si>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</si>
  <si>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</si>
  <si>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</si>
  <si>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</si>
  <si>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</si>
  <si>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</si>
  <si>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</si>
  <si>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</si>
  <si>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</si>
  <si>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</si>
  <si>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</si>
  <si>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</si>
  <si>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</si>
  <si>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</si>
  <si>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</si>
  <si>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</si>
  <si>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</si>
  <si>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</si>
  <si>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</si>
  <si>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</si>
  <si>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</si>
  <si>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</si>
  <si>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</si>
  <si>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</si>
  <si>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</si>
  <si>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</si>
  <si>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</si>
  <si>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</si>
  <si>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</si>
  <si>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</si>
  <si>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</si>
  <si>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</si>
  <si>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</si>
  <si>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</si>
  <si>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</si>
  <si>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</si>
  <si>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</si>
  <si>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</si>
  <si>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</si>
  <si>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</si>
  <si>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</si>
  <si>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</si>
  <si>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</si>
  <si>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</si>
  <si>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</si>
  <si>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</si>
  <si>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</si>
  <si>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</si>
  <si>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</si>
  <si>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</si>
  <si>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</si>
  <si>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</si>
  <si>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</si>
  <si>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</si>
  <si>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</si>
  <si>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</si>
  <si>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</si>
  <si>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</si>
  <si>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</si>
  <si>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</si>
  <si>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</si>
  <si>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</si>
  <si>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</si>
  <si>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</si>
  <si>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</si>
  <si>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</si>
  <si>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</si>
  <si>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</si>
  <si>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</si>
  <si>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Delhi</t>
  </si>
  <si>
    <t>Mumbai</t>
  </si>
  <si>
    <t>Jaipur</t>
  </si>
  <si>
    <t>Call Count</t>
  </si>
  <si>
    <t>Total Amount</t>
  </si>
  <si>
    <t>Total Duration</t>
  </si>
  <si>
    <t>Avg. Rating</t>
  </si>
  <si>
    <t>5* Rating</t>
  </si>
  <si>
    <t>Grand Total</t>
  </si>
  <si>
    <t>Jan</t>
  </si>
  <si>
    <t>Feb</t>
  </si>
  <si>
    <t>Mar</t>
  </si>
  <si>
    <t>Apr</t>
  </si>
  <si>
    <t>May</t>
  </si>
  <si>
    <t>Jun</t>
  </si>
  <si>
    <t>Jul</t>
  </si>
  <si>
    <t>Aug</t>
  </si>
  <si>
    <t>Sep</t>
  </si>
  <si>
    <t>Oct</t>
  </si>
  <si>
    <t>Nov</t>
  </si>
  <si>
    <t>Dec</t>
  </si>
  <si>
    <t>Row Labels</t>
  </si>
  <si>
    <t>Call Count2</t>
  </si>
  <si>
    <t>Friday</t>
  </si>
  <si>
    <t>Monday</t>
  </si>
  <si>
    <t>Saturday</t>
  </si>
  <si>
    <t>Sunday</t>
  </si>
  <si>
    <t>Thursday</t>
  </si>
  <si>
    <t>Tuesday</t>
  </si>
  <si>
    <t>Wednesday</t>
  </si>
  <si>
    <t>For Graph</t>
  </si>
  <si>
    <t>rep</t>
  </si>
  <si>
    <t>calls</t>
  </si>
  <si>
    <t>amount</t>
  </si>
  <si>
    <t>selected rep</t>
  </si>
  <si>
    <t>sel. Amount</t>
  </si>
  <si>
    <t>sel. Calls</t>
  </si>
  <si>
    <t>Gender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</si>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</sst>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_ [$₹-4009]\ * #,##0.00_ ;_ [$₹-4009]\ * \-#,##0.00_ ;_ [$₹-4009]\ * &quot;-&quot;??_ ;_ @_ "/>
    <numFmt numFmtId="166" formatCode="0.0"/>
    <numFmt numFmtId="167" formatCode="&quot;₹&quot;\ #,##0;#,##0\ \-&quot;₹&quot;;&quot;₹&quot;\ #,##0"/>
    <numFmt numFmtId="168" formatCode="&quot;₹&quot;\ #,##0;#,##0\ \-&quot;₹&quot;;&quot;₹&quot;\ #,##0"/>
  </numFmts>
  <fonts count="8"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0"/>
      <name val="Aptos"/>
      <family val="2"/>
      <scheme val="minor"/>
    </font>
    <font>
      <sz val="11"/>
      <color theme="8"/>
      <name val="Aptos"/>
      <family val="2"/>
      <scheme val="minor"/>
    </font>
    <font>
      <sz val="10"/>
      <color theme="8"/>
      <name val="Aptos"/>
      <family val="2"/>
      <scheme val="minor"/>
    </font>
    <font>
      <sz val="11"/>
      <name val="Aptos"/>
      <family val="2"/>
      <scheme val="minor"/>
    </font>
  </fonts>
  <fills count="5">
    <fill>
      <patternFill patternType="none"/>
    </fill>
    <fill>
      <patternFill patternType="gray125"/>
    </fill>
    <fill>
      <patternFill patternType="solid">
        <fgColor theme="7"/>
        <bgColor indexed="64"/>
      </patternFill>
    </fill>
    <fill>
      <patternFill patternType="solid">
        <fgColor theme="0" tint="-0.249977111117893"/>
        <bgColor indexed="64"/>
      </patternFill>
    </fill>
    <fill>
      <patternFill patternType="solid">
        <fgColor rgb="FFFF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5" fillId="3" borderId="0" xfId="0" applyFont="1" applyFill="1"/>
    <xf numFmtId="3" fontId="0" fillId="0" borderId="0" xfId="0" applyNumberFormat="1"/>
    <xf numFmtId="165" fontId="1" fillId="0" borderId="0" xfId="0" applyNumberFormat="1" applyFont="1"/>
    <xf numFmtId="165" fontId="0" fillId="0" borderId="0" xfId="0" applyNumberFormat="1"/>
    <xf numFmtId="1"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4" fillId="4" borderId="0" xfId="0" applyFont="1" applyFill="1" applyAlignment="1">
      <alignment horizontal="left"/>
    </xf>
    <xf numFmtId="167" fontId="0" fillId="0" borderId="0" xfId="0" applyNumberFormat="1"/>
    <xf numFmtId="0" fontId="0" fillId="0" borderId="0" xfId="0" applyAlignment="1">
      <alignment horizontal="left" indent="1"/>
    </xf>
    <xf numFmtId="0" fontId="0" fillId="3" borderId="0" xfId="0" applyFill="1"/>
    <xf numFmtId="0" fontId="0" fillId="3" borderId="0" xfId="0" applyFill="1" applyAlignment="1">
      <alignment horizontal="left" indent="1"/>
    </xf>
    <xf numFmtId="0" fontId="6" fillId="3" borderId="0" xfId="0" applyFont="1" applyFill="1"/>
    <xf numFmtId="165" fontId="0" fillId="3" borderId="0" xfId="0" applyNumberFormat="1" applyFill="1"/>
    <xf numFmtId="165" fontId="0" fillId="3" borderId="0" xfId="0" applyNumberFormat="1" applyFill="1" applyAlignment="1">
      <alignment horizontal="left" indent="1"/>
    </xf>
    <xf numFmtId="0" fontId="7" fillId="3" borderId="0" xfId="0" applyFont="1" applyFill="1"/>
    <xf numFmtId="168" fontId="0" fillId="0" borderId="0" xfId="0" applyNumberFormat="1"/>
  </cellXfs>
  <cellStyles count="1">
    <cellStyle name="Normal" xfId="0" builtinId="0"/>
  </cellStyles>
  <dxfs count="33">
    <dxf>
      <font>
        <color rgb="FFC00000"/>
      </font>
    </dxf>
    <dxf>
      <fill>
        <patternFill patternType="solid">
          <bgColor rgb="FFFF0000"/>
        </patternFill>
      </fill>
    </dxf>
    <dxf>
      <font>
        <color theme="0"/>
      </font>
    </dxf>
    <dxf>
      <font>
        <color rgb="FFC00000"/>
      </font>
    </dxf>
    <dxf>
      <fill>
        <patternFill patternType="solid">
          <bgColor rgb="FFFF0000"/>
        </patternFill>
      </fill>
    </dxf>
    <dxf>
      <font>
        <color theme="0"/>
      </font>
    </dxf>
    <dxf>
      <font>
        <color rgb="FFC00000"/>
      </font>
    </dxf>
    <dxf>
      <fill>
        <patternFill patternType="solid">
          <bgColor rgb="FFFF0000"/>
        </patternFill>
      </fill>
    </dxf>
    <dxf>
      <font>
        <color theme="0"/>
      </font>
    </dxf>
    <dxf>
      <font>
        <color rgb="FFC00000"/>
      </font>
    </dxf>
    <dxf>
      <fill>
        <patternFill patternType="solid">
          <bgColor rgb="FFFF0000"/>
        </patternFill>
      </fill>
    </dxf>
    <dxf>
      <font>
        <color theme="0"/>
      </font>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5" formatCode="_ [$₹-4009]\ * #,##0.00_ ;_ [$₹-4009]\ * \-#,##0.00_ ;_ [$₹-4009]\ * &quot;-&quot;??_ ;_ @_ "/>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color theme="0"/>
      </font>
    </dxf>
    <dxf>
      <fill>
        <patternFill patternType="solid">
          <bgColor rgb="FFFF0000"/>
        </patternFill>
      </fill>
    </dxf>
    <dxf>
      <font>
        <color rgb="FFC00000"/>
      </font>
    </dxf>
    <dxf>
      <fill>
        <patternFill>
          <bgColor theme="9" tint="0.79998168889431442"/>
        </patternFill>
      </fill>
    </dxf>
    <dxf>
      <border>
        <left style="thin">
          <color theme="2" tint="-9.9948118533890809E-2"/>
        </left>
        <right style="thin">
          <color theme="2" tint="-9.9948118533890809E-2"/>
        </right>
        <top style="thin">
          <color theme="2" tint="-9.9948118533890809E-2"/>
        </top>
        <bottom style="thin">
          <color theme="2" tint="-9.9948118533890809E-2"/>
        </bottom>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32"/>
    </tableStyle>
    <tableStyle name="Slicer Style 2" pivot="0" table="0" count="1" xr9:uid="{04D92969-8BB3-47C6-9658-2C2A3565F931}">
      <tableStyleElement type="wholeTable" dxfId="31"/>
    </tableStyle>
    <tableStyle name="Slicer Style 3" pivot="0" table="0" count="3" xr9:uid="{1AD4229A-6863-407F-A4AE-DA496928BDC1}">
      <tableStyleElement type="wholeTable" dxfId="30"/>
    </tableStyle>
  </tableStyles>
  <extLst>
    <ext xmlns:x14="http://schemas.microsoft.com/office/spreadsheetml/2009/9/main" uri="{46F421CA-312F-682f-3DD2-61675219B42D}">
      <x14:dxfs count="2">
        <dxf>
          <fill>
            <patternFill>
              <bgColor theme="0" tint="-4.9989318521683403E-2"/>
            </patternFill>
          </fill>
        </dxf>
        <dxf>
          <fill>
            <patternFill>
              <bgColor rgb="FF92D050"/>
            </patternFill>
          </fill>
        </dxf>
      </x14:dxfs>
    </ext>
    <ext xmlns:x14="http://schemas.microsoft.com/office/spreadsheetml/2009/9/main" uri="{EB79DEF2-80B8-43e5-95BD-54CBDDF9020C}">
      <x14:slicerStyles defaultSlicerStyle="SlicerStyleLight1">
        <x14:slicerStyle name="Slicer Style 2"/>
        <x14:slicerStyle name="Slicer Style 3">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17/10/relationships/person" Target="persons/person.xml"/><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new.xlsx]Sheet2!monthly</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8149953637843"/>
          <c:y val="2.522490139488226E-2"/>
          <c:w val="0.77109855658146298"/>
          <c:h val="0.66163012422057021"/>
        </c:manualLayout>
      </c:layout>
      <c:areaChart>
        <c:grouping val="standard"/>
        <c:varyColors val="0"/>
        <c:ser>
          <c:idx val="1"/>
          <c:order val="1"/>
          <c:tx>
            <c:strRef>
              <c:f>Sheet2!$C$19</c:f>
              <c:strCache>
                <c:ptCount val="1"/>
                <c:pt idx="0">
                  <c:v>Call Count2</c:v>
                </c:pt>
              </c:strCache>
            </c:strRef>
          </c:tx>
          <c:spPr>
            <a:solidFill>
              <a:schemeClr val="accent2">
                <a:lumMod val="60000"/>
                <a:lumOff val="40000"/>
              </a:schemeClr>
            </a:solidFill>
            <a:ln>
              <a:noFill/>
            </a:ln>
            <a:effectLst/>
          </c:spPr>
          <c:cat>
            <c:strRef>
              <c:f>Sheet2!$A$20:$A$32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Sheet2!$C$20:$C$32</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2-EED7-454A-B7BB-195D10E07A68}"/>
            </c:ext>
          </c:extLst>
        </c:ser>
        <c:dLbls>
          <c:showLegendKey val="0"/>
          <c:showVal val="0"/>
          <c:showCatName val="0"/>
          <c:showSerName val="0"/>
          <c:showPercent val="0"/>
          <c:showBubbleSize val="0"/>
        </c:dLbls>
        <c:axId val="1155648848"/>
        <c:axId val="1155645008"/>
      </c:areaChart>
      <c:lineChart>
        <c:grouping val="standard"/>
        <c:varyColors val="0"/>
        <c:ser>
          <c:idx val="0"/>
          <c:order val="0"/>
          <c:tx>
            <c:strRef>
              <c:f>Sheet2!$B$19</c:f>
              <c:strCache>
                <c:ptCount val="1"/>
                <c:pt idx="0">
                  <c:v>Call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Sheet2!$B$20:$B$32</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0-EED7-454A-B7BB-195D10E07A68}"/>
            </c:ext>
          </c:extLst>
        </c:ser>
        <c:dLbls>
          <c:showLegendKey val="0"/>
          <c:showVal val="0"/>
          <c:showCatName val="0"/>
          <c:showSerName val="0"/>
          <c:showPercent val="0"/>
          <c:showBubbleSize val="0"/>
        </c:dLbls>
        <c:marker val="1"/>
        <c:smooth val="0"/>
        <c:axId val="1155648848"/>
        <c:axId val="1155645008"/>
      </c:lineChart>
      <c:catAx>
        <c:axId val="115564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45008"/>
        <c:crosses val="autoZero"/>
        <c:auto val="1"/>
        <c:lblAlgn val="ctr"/>
        <c:lblOffset val="100"/>
        <c:noMultiLvlLbl val="0"/>
      </c:catAx>
      <c:valAx>
        <c:axId val="1155645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4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new.xlsx]Sheet2!PivotTable7</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Sheet2!$C$35</c:f>
              <c:strCache>
                <c:ptCount val="1"/>
                <c:pt idx="0">
                  <c:v>Total</c:v>
                </c:pt>
              </c:strCache>
            </c:strRef>
          </c:tx>
          <c:spPr>
            <a:solidFill>
              <a:schemeClr val="accent1"/>
            </a:solidFill>
            <a:ln>
              <a:noFill/>
            </a:ln>
            <a:effectLst/>
          </c:spPr>
          <c:invertIfNegative val="0"/>
          <c:cat>
            <c:strRef>
              <c:f>Sheet2!$B$36:$B$43</c:f>
              <c:strCache>
                <c:ptCount val="7"/>
                <c:pt idx="0">
                  <c:v>Sunday</c:v>
                </c:pt>
                <c:pt idx="1">
                  <c:v>Monday</c:v>
                </c:pt>
                <c:pt idx="2">
                  <c:v>Tuesday</c:v>
                </c:pt>
                <c:pt idx="3">
                  <c:v>Wednesday</c:v>
                </c:pt>
                <c:pt idx="4">
                  <c:v>Thursday</c:v>
                </c:pt>
                <c:pt idx="5">
                  <c:v>Friday</c:v>
                </c:pt>
                <c:pt idx="6">
                  <c:v>Saturday</c:v>
                </c:pt>
              </c:strCache>
            </c:strRef>
          </c:cat>
          <c:val>
            <c:numRef>
              <c:f>Sheet2!$C$36:$C$43</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6504-40EA-B60D-15EBF9BCB5D0}"/>
            </c:ext>
          </c:extLst>
        </c:ser>
        <c:dLbls>
          <c:showLegendKey val="0"/>
          <c:showVal val="0"/>
          <c:showCatName val="0"/>
          <c:showSerName val="0"/>
          <c:showPercent val="0"/>
          <c:showBubbleSize val="0"/>
        </c:dLbls>
        <c:gapWidth val="182"/>
        <c:axId val="1328669536"/>
        <c:axId val="1328669056"/>
      </c:barChart>
      <c:catAx>
        <c:axId val="13286695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669056"/>
        <c:crosses val="autoZero"/>
        <c:auto val="1"/>
        <c:lblAlgn val="ctr"/>
        <c:lblOffset val="100"/>
        <c:noMultiLvlLbl val="0"/>
      </c:catAx>
      <c:valAx>
        <c:axId val="1328669056"/>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66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114553637085975E-2"/>
          <c:y val="7.1618274621025366E-2"/>
          <c:w val="0.84472482661109927"/>
          <c:h val="0.85124146029347614"/>
        </c:manualLayout>
      </c:layout>
      <c:barChart>
        <c:barDir val="bar"/>
        <c:grouping val="clustered"/>
        <c:varyColors val="0"/>
        <c:ser>
          <c:idx val="0"/>
          <c:order val="0"/>
          <c:spPr>
            <a:solidFill>
              <a:schemeClr val="tx2">
                <a:lumMod val="20000"/>
                <a:lumOff val="80000"/>
              </a:schemeClr>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Sheet2!$B$59:$B$63</c:f>
              <c:strCache>
                <c:ptCount val="5"/>
                <c:pt idx="0">
                  <c:v>R01</c:v>
                </c:pt>
                <c:pt idx="1">
                  <c:v>R02</c:v>
                </c:pt>
                <c:pt idx="2">
                  <c:v>R03</c:v>
                </c:pt>
                <c:pt idx="3">
                  <c:v>R04</c:v>
                </c:pt>
                <c:pt idx="4">
                  <c:v>R05</c:v>
                </c:pt>
              </c:strCache>
            </c:strRef>
          </c:cat>
          <c:val>
            <c:numRef>
              <c:f>Sheet2!$D$59:$D$63</c:f>
              <c:numCache>
                <c:formatCode>General</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E4B1-4D5B-87E2-77079F8EB39F}"/>
            </c:ext>
          </c:extLst>
        </c:ser>
        <c:ser>
          <c:idx val="2"/>
          <c:order val="2"/>
          <c:tx>
            <c:strRef>
              <c:f>Sheet2!$F$58</c:f>
              <c:strCache>
                <c:ptCount val="1"/>
                <c:pt idx="0">
                  <c:v>sel. Amount</c:v>
                </c:pt>
              </c:strCache>
            </c:strRef>
          </c:tx>
          <c:spPr>
            <a:solidFill>
              <a:srgbClr val="FF0000"/>
            </a:solidFill>
            <a:ln>
              <a:noFill/>
            </a:ln>
            <a:effectLst/>
          </c:spPr>
          <c:invertIfNegative val="0"/>
          <c:val>
            <c:numRef>
              <c:f>Sheet2!$F$59:$F$63</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2487-4E96-9699-B7BBD081A7C0}"/>
            </c:ext>
          </c:extLst>
        </c:ser>
        <c:dLbls>
          <c:showLegendKey val="0"/>
          <c:showVal val="0"/>
          <c:showCatName val="0"/>
          <c:showSerName val="0"/>
          <c:showPercent val="0"/>
          <c:showBubbleSize val="0"/>
        </c:dLbls>
        <c:gapWidth val="25"/>
        <c:overlap val="100"/>
        <c:axId val="1249008432"/>
        <c:axId val="1249006512"/>
        <c:extLst>
          <c:ext xmlns:c15="http://schemas.microsoft.com/office/drawing/2012/chart" uri="{02D57815-91ED-43cb-92C2-25804820EDAC}">
            <c15:filteredBarSeries>
              <c15:ser>
                <c:idx val="1"/>
                <c:order val="1"/>
                <c:tx>
                  <c:strRef>
                    <c:extLst>
                      <c:ext uri="{02D57815-91ED-43cb-92C2-25804820EDAC}">
                        <c15:formulaRef>
                          <c15:sqref>Sheet2!$E$58</c15:sqref>
                        </c15:formulaRef>
                      </c:ext>
                    </c:extLst>
                    <c:strCache>
                      <c:ptCount val="1"/>
                      <c:pt idx="0">
                        <c:v>sel. Calls</c:v>
                      </c:pt>
                    </c:strCache>
                  </c:strRef>
                </c:tx>
                <c:spPr>
                  <a:solidFill>
                    <a:schemeClr val="accent2"/>
                  </a:solidFill>
                  <a:ln>
                    <a:noFill/>
                  </a:ln>
                  <a:effectLst/>
                </c:spPr>
                <c:invertIfNegative val="0"/>
                <c:val>
                  <c:numRef>
                    <c:extLst>
                      <c:ext uri="{02D57815-91ED-43cb-92C2-25804820EDAC}">
                        <c15:formulaRef>
                          <c15:sqref>Sheet2!$E$59:$E$63</c15:sqref>
                        </c15:formulaRef>
                      </c:ext>
                    </c:extLst>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0-2487-4E96-9699-B7BBD081A7C0}"/>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Sheet2!$F$58</c15:sqref>
                        </c15:formulaRef>
                      </c:ext>
                    </c:extLst>
                    <c:strCache>
                      <c:ptCount val="1"/>
                      <c:pt idx="0">
                        <c:v>sel. Amount</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Sheet2!$F$59:$F$63</c15:sqref>
                        </c15:formulaRef>
                      </c:ext>
                    </c:extLst>
                    <c:numCache>
                      <c:formatCode>General</c:formatCode>
                      <c:ptCount val="5"/>
                      <c:pt idx="0">
                        <c:v>18415</c:v>
                      </c:pt>
                      <c:pt idx="1">
                        <c:v>#N/A</c:v>
                      </c:pt>
                      <c:pt idx="2">
                        <c:v>#N/A</c:v>
                      </c:pt>
                      <c:pt idx="3">
                        <c:v>#N/A</c:v>
                      </c:pt>
                      <c:pt idx="4">
                        <c:v>#N/A</c:v>
                      </c:pt>
                    </c:numCache>
                  </c:numRef>
                </c:val>
                <c:extLst xmlns:c15="http://schemas.microsoft.com/office/drawing/2012/chart">
                  <c:ext xmlns:c16="http://schemas.microsoft.com/office/drawing/2014/chart" uri="{C3380CC4-5D6E-409C-BE32-E72D297353CC}">
                    <c16:uniqueId val="{00000002-2487-4E96-9699-B7BBD081A7C0}"/>
                  </c:ext>
                </c:extLst>
              </c15:ser>
            </c15:filteredBarSeries>
          </c:ext>
        </c:extLst>
      </c:barChart>
      <c:catAx>
        <c:axId val="1249008432"/>
        <c:scaling>
          <c:orientation val="maxMin"/>
        </c:scaling>
        <c:delete val="1"/>
        <c:axPos val="l"/>
        <c:numFmt formatCode="General" sourceLinked="1"/>
        <c:majorTickMark val="out"/>
        <c:minorTickMark val="none"/>
        <c:tickLblPos val="nextTo"/>
        <c:crossAx val="1249006512"/>
        <c:crosses val="autoZero"/>
        <c:auto val="1"/>
        <c:lblAlgn val="ctr"/>
        <c:lblOffset val="100"/>
        <c:noMultiLvlLbl val="0"/>
      </c:catAx>
      <c:valAx>
        <c:axId val="1249006512"/>
        <c:scaling>
          <c:orientation val="minMax"/>
        </c:scaling>
        <c:delete val="1"/>
        <c:axPos val="t"/>
        <c:numFmt formatCode="General" sourceLinked="1"/>
        <c:majorTickMark val="out"/>
        <c:minorTickMark val="none"/>
        <c:tickLblPos val="nextTo"/>
        <c:crossAx val="124900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71589986322943"/>
          <c:y val="7.9501904915721719E-2"/>
          <c:w val="0.88525495865586079"/>
          <c:h val="0.86363793871711314"/>
        </c:manualLayout>
      </c:layout>
      <c:barChart>
        <c:barDir val="bar"/>
        <c:grouping val="clustered"/>
        <c:varyColors val="0"/>
        <c:ser>
          <c:idx val="0"/>
          <c:order val="0"/>
          <c:spPr>
            <a:solidFill>
              <a:schemeClr val="bg2">
                <a:lumMod val="90000"/>
              </a:schemeClr>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Sheet2!$B$59:$B$63</c:f>
              <c:strCache>
                <c:ptCount val="5"/>
                <c:pt idx="0">
                  <c:v>R01</c:v>
                </c:pt>
                <c:pt idx="1">
                  <c:v>R02</c:v>
                </c:pt>
                <c:pt idx="2">
                  <c:v>R03</c:v>
                </c:pt>
                <c:pt idx="3">
                  <c:v>R04</c:v>
                </c:pt>
                <c:pt idx="4">
                  <c:v>R05</c:v>
                </c:pt>
              </c:strCache>
            </c:strRef>
          </c:cat>
          <c:val>
            <c:numRef>
              <c:f>Sheet2!$C$59:$C$63</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8D5-4A73-9B6C-4C469E2F8396}"/>
            </c:ext>
          </c:extLst>
        </c:ser>
        <c:ser>
          <c:idx val="1"/>
          <c:order val="1"/>
          <c:tx>
            <c:strRef>
              <c:f>Sheet2!$E$58</c:f>
              <c:strCache>
                <c:ptCount val="1"/>
                <c:pt idx="0">
                  <c:v>sel. Calls</c:v>
                </c:pt>
              </c:strCache>
            </c:strRef>
          </c:tx>
          <c:spPr>
            <a:solidFill>
              <a:srgbClr val="FF0000"/>
            </a:solidFill>
            <a:ln>
              <a:noFill/>
            </a:ln>
            <a:effectLst/>
          </c:spPr>
          <c:invertIfNegative val="0"/>
          <c:val>
            <c:numRef>
              <c:f>Sheet2!$E$59:$E$63</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8D07-4EF8-9A69-F0FDE56C1785}"/>
            </c:ext>
          </c:extLst>
        </c:ser>
        <c:dLbls>
          <c:showLegendKey val="0"/>
          <c:showVal val="0"/>
          <c:showCatName val="0"/>
          <c:showSerName val="0"/>
          <c:showPercent val="0"/>
          <c:showBubbleSize val="0"/>
        </c:dLbls>
        <c:gapWidth val="25"/>
        <c:overlap val="100"/>
        <c:axId val="1249008432"/>
        <c:axId val="1249006512"/>
      </c:barChart>
      <c:catAx>
        <c:axId val="12490084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006512"/>
        <c:crosses val="autoZero"/>
        <c:auto val="1"/>
        <c:lblAlgn val="ctr"/>
        <c:lblOffset val="100"/>
        <c:noMultiLvlLbl val="0"/>
      </c:catAx>
      <c:valAx>
        <c:axId val="1249006512"/>
        <c:scaling>
          <c:orientation val="minMax"/>
          <c:min val="0"/>
        </c:scaling>
        <c:delete val="1"/>
        <c:axPos val="t"/>
        <c:numFmt formatCode="General" sourceLinked="1"/>
        <c:majorTickMark val="none"/>
        <c:minorTickMark val="none"/>
        <c:tickLblPos val="nextTo"/>
        <c:crossAx val="124900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new.xlsx]Sheet2!PivotTable1</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Sheet2!$B$75:$B$76</c:f>
              <c:strCache>
                <c:ptCount val="1"/>
                <c:pt idx="0">
                  <c:v>Female</c:v>
                </c:pt>
              </c:strCache>
            </c:strRef>
          </c:tx>
          <c:spPr>
            <a:solidFill>
              <a:srgbClr val="FF0000"/>
            </a:solidFill>
            <a:ln>
              <a:noFill/>
            </a:ln>
            <a:effectLst/>
          </c:spPr>
          <c:invertIfNegative val="0"/>
          <c:cat>
            <c:strRef>
              <c:f>Sheet2!$A$77:$A$80</c:f>
              <c:strCache>
                <c:ptCount val="3"/>
                <c:pt idx="0">
                  <c:v>Delhi</c:v>
                </c:pt>
                <c:pt idx="1">
                  <c:v>Jaipur</c:v>
                </c:pt>
                <c:pt idx="2">
                  <c:v>Mumbai</c:v>
                </c:pt>
              </c:strCache>
            </c:strRef>
          </c:cat>
          <c:val>
            <c:numRef>
              <c:f>Sheet2!$B$77:$B$80</c:f>
              <c:numCache>
                <c:formatCode>#,##0</c:formatCode>
                <c:ptCount val="3"/>
                <c:pt idx="0">
                  <c:v>129</c:v>
                </c:pt>
                <c:pt idx="1">
                  <c:v>70</c:v>
                </c:pt>
                <c:pt idx="2">
                  <c:v>326</c:v>
                </c:pt>
              </c:numCache>
            </c:numRef>
          </c:val>
          <c:extLst>
            <c:ext xmlns:c16="http://schemas.microsoft.com/office/drawing/2014/chart" uri="{C3380CC4-5D6E-409C-BE32-E72D297353CC}">
              <c16:uniqueId val="{00000000-A509-4C2E-BDE4-8E5E5E18A7DF}"/>
            </c:ext>
          </c:extLst>
        </c:ser>
        <c:ser>
          <c:idx val="1"/>
          <c:order val="1"/>
          <c:tx>
            <c:strRef>
              <c:f>Sheet2!$C$75:$C$76</c:f>
              <c:strCache>
                <c:ptCount val="1"/>
                <c:pt idx="0">
                  <c:v>Male</c:v>
                </c:pt>
              </c:strCache>
            </c:strRef>
          </c:tx>
          <c:spPr>
            <a:solidFill>
              <a:srgbClr val="92D050"/>
            </a:solidFill>
            <a:ln>
              <a:noFill/>
            </a:ln>
            <a:effectLst/>
          </c:spPr>
          <c:invertIfNegative val="0"/>
          <c:cat>
            <c:strRef>
              <c:f>Sheet2!$A$77:$A$80</c:f>
              <c:strCache>
                <c:ptCount val="3"/>
                <c:pt idx="0">
                  <c:v>Delhi</c:v>
                </c:pt>
                <c:pt idx="1">
                  <c:v>Jaipur</c:v>
                </c:pt>
                <c:pt idx="2">
                  <c:v>Mumbai</c:v>
                </c:pt>
              </c:strCache>
            </c:strRef>
          </c:cat>
          <c:val>
            <c:numRef>
              <c:f>Sheet2!$C$77:$C$80</c:f>
              <c:numCache>
                <c:formatCode>#,##0</c:formatCode>
                <c:ptCount val="3"/>
                <c:pt idx="0">
                  <c:v>206</c:v>
                </c:pt>
                <c:pt idx="1">
                  <c:v>206</c:v>
                </c:pt>
                <c:pt idx="2">
                  <c:v>63</c:v>
                </c:pt>
              </c:numCache>
            </c:numRef>
          </c:val>
          <c:extLst>
            <c:ext xmlns:c16="http://schemas.microsoft.com/office/drawing/2014/chart" uri="{C3380CC4-5D6E-409C-BE32-E72D297353CC}">
              <c16:uniqueId val="{00000001-A509-4C2E-BDE4-8E5E5E18A7DF}"/>
            </c:ext>
          </c:extLst>
        </c:ser>
        <c:dLbls>
          <c:showLegendKey val="0"/>
          <c:showVal val="0"/>
          <c:showCatName val="0"/>
          <c:showSerName val="0"/>
          <c:showPercent val="0"/>
          <c:showBubbleSize val="0"/>
        </c:dLbls>
        <c:gapWidth val="150"/>
        <c:overlap val="100"/>
        <c:axId val="1518428464"/>
        <c:axId val="1518430384"/>
      </c:barChart>
      <c:catAx>
        <c:axId val="151842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430384"/>
        <c:crosses val="autoZero"/>
        <c:auto val="1"/>
        <c:lblAlgn val="ctr"/>
        <c:lblOffset val="100"/>
        <c:noMultiLvlLbl val="0"/>
      </c:catAx>
      <c:valAx>
        <c:axId val="1518430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42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new.xlsx]Sheet2!rating</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Sheet2!$B$85</c:f>
              <c:strCache>
                <c:ptCount val="1"/>
                <c:pt idx="0">
                  <c:v>Total</c:v>
                </c:pt>
              </c:strCache>
            </c:strRef>
          </c:tx>
          <c:spPr>
            <a:solidFill>
              <a:schemeClr val="accent1"/>
            </a:solidFill>
            <a:ln>
              <a:noFill/>
            </a:ln>
            <a:effectLst/>
          </c:spPr>
          <c:invertIfNegative val="0"/>
          <c:cat>
            <c:strRef>
              <c:f>Sheet2!$A$86:$A$91</c:f>
              <c:strCache>
                <c:ptCount val="5"/>
                <c:pt idx="0">
                  <c:v>1</c:v>
                </c:pt>
                <c:pt idx="1">
                  <c:v>2</c:v>
                </c:pt>
                <c:pt idx="2">
                  <c:v>3</c:v>
                </c:pt>
                <c:pt idx="3">
                  <c:v>4</c:v>
                </c:pt>
                <c:pt idx="4">
                  <c:v>5</c:v>
                </c:pt>
              </c:strCache>
            </c:strRef>
          </c:cat>
          <c:val>
            <c:numRef>
              <c:f>Sheet2!$B$86:$B$91</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C8CC-447C-9D18-84DB5A5187D9}"/>
            </c:ext>
          </c:extLst>
        </c:ser>
        <c:dLbls>
          <c:showLegendKey val="0"/>
          <c:showVal val="0"/>
          <c:showCatName val="0"/>
          <c:showSerName val="0"/>
          <c:showPercent val="0"/>
          <c:showBubbleSize val="0"/>
        </c:dLbls>
        <c:gapWidth val="219"/>
        <c:overlap val="-27"/>
        <c:axId val="360303088"/>
        <c:axId val="160454144"/>
      </c:barChart>
      <c:catAx>
        <c:axId val="36030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4144"/>
        <c:crosses val="autoZero"/>
        <c:auto val="1"/>
        <c:lblAlgn val="ctr"/>
        <c:lblOffset val="100"/>
        <c:noMultiLvlLbl val="0"/>
      </c:catAx>
      <c:valAx>
        <c:axId val="160454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30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new.xlsx]Sheet2!monthly</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a:t>
            </a:r>
            <a:r>
              <a:rPr lang="en-IN" baseline="0"/>
              <a:t> Trend</a:t>
            </a:r>
            <a:endParaRPr lang="en-IN"/>
          </a:p>
        </c:rich>
      </c:tx>
      <c:layout>
        <c:manualLayout>
          <c:xMode val="edge"/>
          <c:yMode val="edge"/>
          <c:x val="3.4695759703692305E-2"/>
          <c:y val="3.87793256505669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2000">
                <a:srgbClr val="FF0000"/>
              </a:gs>
              <a:gs pos="100000">
                <a:schemeClr val="bg1"/>
              </a:gs>
              <a:gs pos="100000">
                <a:srgbClr val="00B050"/>
              </a:gs>
              <a:gs pos="100000">
                <a:schemeClr val="accent1">
                  <a:lumMod val="30000"/>
                  <a:lumOff val="70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Sheet2!$C$19</c:f>
              <c:strCache>
                <c:ptCount val="1"/>
                <c:pt idx="0">
                  <c:v>Call Count2</c:v>
                </c:pt>
              </c:strCache>
            </c:strRef>
          </c:tx>
          <c:spPr>
            <a:gradFill flip="none" rotWithShape="1">
              <a:gsLst>
                <a:gs pos="2000">
                  <a:srgbClr val="FF0000"/>
                </a:gs>
                <a:gs pos="100000">
                  <a:schemeClr val="bg1"/>
                </a:gs>
                <a:gs pos="100000">
                  <a:srgbClr val="00B050"/>
                </a:gs>
                <a:gs pos="100000">
                  <a:schemeClr val="accent1">
                    <a:lumMod val="30000"/>
                    <a:lumOff val="70000"/>
                  </a:schemeClr>
                </a:gs>
              </a:gsLst>
              <a:lin ang="13500000" scaled="1"/>
              <a:tileRect/>
            </a:gradFill>
            <a:ln>
              <a:noFill/>
            </a:ln>
            <a:effectLst/>
          </c:spPr>
          <c:cat>
            <c:strRef>
              <c:f>Sheet2!$A$20:$A$32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Sheet2!$C$20:$C$32</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33EA-494F-A0E2-DC54B3915951}"/>
            </c:ext>
          </c:extLst>
        </c:ser>
        <c:dLbls>
          <c:showLegendKey val="0"/>
          <c:showVal val="0"/>
          <c:showCatName val="0"/>
          <c:showSerName val="0"/>
          <c:showPercent val="0"/>
          <c:showBubbleSize val="0"/>
        </c:dLbls>
        <c:axId val="1155648848"/>
        <c:axId val="1155645008"/>
      </c:areaChart>
      <c:lineChart>
        <c:grouping val="standard"/>
        <c:varyColors val="0"/>
        <c:ser>
          <c:idx val="0"/>
          <c:order val="0"/>
          <c:tx>
            <c:strRef>
              <c:f>Sheet2!$B$19</c:f>
              <c:strCache>
                <c:ptCount val="1"/>
                <c:pt idx="0">
                  <c:v>Call Count</c:v>
                </c:pt>
              </c:strCache>
            </c:strRef>
          </c:tx>
          <c:spPr>
            <a:ln w="28575" cap="rnd">
              <a:solidFill>
                <a:schemeClr val="accent2">
                  <a:lumMod val="75000"/>
                </a:schemeClr>
              </a:solidFill>
              <a:round/>
            </a:ln>
            <a:effectLst/>
          </c:spPr>
          <c:marker>
            <c:symbol val="circle"/>
            <c:size val="5"/>
            <c:spPr>
              <a:solidFill>
                <a:schemeClr val="accent1"/>
              </a:solidFill>
              <a:ln w="9525">
                <a:solidFill>
                  <a:schemeClr val="accent1"/>
                </a:solidFill>
              </a:ln>
              <a:effectLst/>
            </c:spPr>
          </c:marker>
          <c:cat>
            <c:strRef>
              <c:f>Sheet2!$A$20:$A$32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Sheet2!$B$20:$B$32</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33EA-494F-A0E2-DC54B3915951}"/>
            </c:ext>
          </c:extLst>
        </c:ser>
        <c:dLbls>
          <c:showLegendKey val="0"/>
          <c:showVal val="0"/>
          <c:showCatName val="0"/>
          <c:showSerName val="0"/>
          <c:showPercent val="0"/>
          <c:showBubbleSize val="0"/>
        </c:dLbls>
        <c:marker val="1"/>
        <c:smooth val="0"/>
        <c:axId val="1155648848"/>
        <c:axId val="1155645008"/>
      </c:lineChart>
      <c:catAx>
        <c:axId val="115564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45008"/>
        <c:crosses val="autoZero"/>
        <c:auto val="1"/>
        <c:lblAlgn val="ctr"/>
        <c:lblOffset val="100"/>
        <c:noMultiLvlLbl val="0"/>
      </c:catAx>
      <c:valAx>
        <c:axId val="1155645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4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new.xlsx]Sheet2!PivotTable7</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2000">
                <a:srgbClr val="FF0000"/>
              </a:gs>
              <a:gs pos="100000">
                <a:schemeClr val="bg1"/>
              </a:gs>
              <a:gs pos="100000">
                <a:srgbClr val="00B050"/>
              </a:gs>
              <a:gs pos="100000">
                <a:schemeClr val="accent1">
                  <a:lumMod val="30000"/>
                  <a:lumOff val="70000"/>
                </a:schemeClr>
              </a:gs>
            </a:gsLst>
            <a:lin ang="13500000" scaled="1"/>
          </a:gra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Sheet2!$C$35</c:f>
              <c:strCache>
                <c:ptCount val="1"/>
                <c:pt idx="0">
                  <c:v>Total</c:v>
                </c:pt>
              </c:strCache>
            </c:strRef>
          </c:tx>
          <c:spPr>
            <a:gradFill>
              <a:gsLst>
                <a:gs pos="2000">
                  <a:srgbClr val="FF0000"/>
                </a:gs>
                <a:gs pos="100000">
                  <a:schemeClr val="bg1"/>
                </a:gs>
                <a:gs pos="100000">
                  <a:srgbClr val="00B050"/>
                </a:gs>
                <a:gs pos="100000">
                  <a:schemeClr val="accent1">
                    <a:lumMod val="30000"/>
                    <a:lumOff val="70000"/>
                  </a:schemeClr>
                </a:gs>
              </a:gsLst>
              <a:lin ang="13500000" scaled="1"/>
            </a:gradFill>
            <a:ln>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Sheet2!$B$36:$B$43</c:f>
              <c:strCache>
                <c:ptCount val="7"/>
                <c:pt idx="0">
                  <c:v>Sunday</c:v>
                </c:pt>
                <c:pt idx="1">
                  <c:v>Monday</c:v>
                </c:pt>
                <c:pt idx="2">
                  <c:v>Tuesday</c:v>
                </c:pt>
                <c:pt idx="3">
                  <c:v>Wednesday</c:v>
                </c:pt>
                <c:pt idx="4">
                  <c:v>Thursday</c:v>
                </c:pt>
                <c:pt idx="5">
                  <c:v>Friday</c:v>
                </c:pt>
                <c:pt idx="6">
                  <c:v>Saturday</c:v>
                </c:pt>
              </c:strCache>
            </c:strRef>
          </c:cat>
          <c:val>
            <c:numRef>
              <c:f>Sheet2!$C$36:$C$43</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267C-4B49-B793-5D9FED7CFDFD}"/>
            </c:ext>
          </c:extLst>
        </c:ser>
        <c:dLbls>
          <c:showLegendKey val="0"/>
          <c:showVal val="0"/>
          <c:showCatName val="0"/>
          <c:showSerName val="0"/>
          <c:showPercent val="0"/>
          <c:showBubbleSize val="0"/>
        </c:dLbls>
        <c:gapWidth val="25"/>
        <c:axId val="1328669536"/>
        <c:axId val="1328669056"/>
      </c:barChart>
      <c:catAx>
        <c:axId val="13286695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669056"/>
        <c:crosses val="autoZero"/>
        <c:auto val="1"/>
        <c:lblAlgn val="ctr"/>
        <c:lblOffset val="100"/>
        <c:noMultiLvlLbl val="0"/>
      </c:catAx>
      <c:valAx>
        <c:axId val="1328669056"/>
        <c:scaling>
          <c:orientation val="minMax"/>
        </c:scaling>
        <c:delete val="1"/>
        <c:axPos val="b"/>
        <c:numFmt formatCode="#,##0" sourceLinked="1"/>
        <c:majorTickMark val="out"/>
        <c:minorTickMark val="none"/>
        <c:tickLblPos val="nextTo"/>
        <c:crossAx val="132866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aseline="0">
                <a:solidFill>
                  <a:srgbClr val="FF0000"/>
                </a:solidFill>
              </a:rPr>
              <a:t>Amount</a:t>
            </a:r>
          </a:p>
        </c:rich>
      </c:tx>
      <c:layout>
        <c:manualLayout>
          <c:xMode val="edge"/>
          <c:yMode val="edge"/>
          <c:x val="0.20965750981196266"/>
          <c:y val="9.553675356582783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lotArea>
      <c:layout>
        <c:manualLayout>
          <c:layoutTarget val="inner"/>
          <c:xMode val="edge"/>
          <c:yMode val="edge"/>
          <c:x val="8.3114553637085975E-2"/>
          <c:y val="7.1618274621025366E-2"/>
          <c:w val="0.84472482661109927"/>
          <c:h val="0.85124146029347614"/>
        </c:manualLayout>
      </c:layout>
      <c:barChart>
        <c:barDir val="bar"/>
        <c:grouping val="clustered"/>
        <c:varyColors val="0"/>
        <c:ser>
          <c:idx val="0"/>
          <c:order val="0"/>
          <c:spPr>
            <a:solidFill>
              <a:schemeClr val="tx2">
                <a:lumMod val="20000"/>
                <a:lumOff val="80000"/>
              </a:schemeClr>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Sheet2!$B$59:$B$63</c:f>
              <c:strCache>
                <c:ptCount val="5"/>
                <c:pt idx="0">
                  <c:v>R01</c:v>
                </c:pt>
                <c:pt idx="1">
                  <c:v>R02</c:v>
                </c:pt>
                <c:pt idx="2">
                  <c:v>R03</c:v>
                </c:pt>
                <c:pt idx="3">
                  <c:v>R04</c:v>
                </c:pt>
                <c:pt idx="4">
                  <c:v>R05</c:v>
                </c:pt>
              </c:strCache>
            </c:strRef>
          </c:cat>
          <c:val>
            <c:numRef>
              <c:f>Sheet2!$D$59:$D$63</c:f>
              <c:numCache>
                <c:formatCode>General</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E71F-4AE8-87AF-45F60D8DD7BF}"/>
            </c:ext>
          </c:extLst>
        </c:ser>
        <c:ser>
          <c:idx val="2"/>
          <c:order val="2"/>
          <c:tx>
            <c:strRef>
              <c:f>Sheet2!$F$58</c:f>
              <c:strCache>
                <c:ptCount val="1"/>
                <c:pt idx="0">
                  <c:v>sel. Amount</c:v>
                </c:pt>
              </c:strCache>
            </c:strRef>
          </c:tx>
          <c:spPr>
            <a:gradFill>
              <a:gsLst>
                <a:gs pos="0">
                  <a:srgbClr val="FF0000"/>
                </a:gs>
                <a:gs pos="50000">
                  <a:srgbClr val="ED6473"/>
                </a:gs>
                <a:gs pos="100000">
                  <a:schemeClr val="accent1">
                    <a:lumMod val="45000"/>
                    <a:lumOff val="55000"/>
                  </a:schemeClr>
                </a:gs>
                <a:gs pos="90000">
                  <a:schemeClr val="accent1">
                    <a:lumMod val="30000"/>
                    <a:lumOff val="70000"/>
                  </a:schemeClr>
                </a:gs>
              </a:gsLst>
              <a:lin ang="5400000" scaled="1"/>
            </a:gradFill>
            <a:ln>
              <a:noFill/>
            </a:ln>
            <a:effectLst/>
          </c:spPr>
          <c:invertIfNegative val="0"/>
          <c:val>
            <c:numRef>
              <c:f>Sheet2!$F$59:$F$63</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E71F-4AE8-87AF-45F60D8DD7BF}"/>
            </c:ext>
          </c:extLst>
        </c:ser>
        <c:dLbls>
          <c:showLegendKey val="0"/>
          <c:showVal val="0"/>
          <c:showCatName val="0"/>
          <c:showSerName val="0"/>
          <c:showPercent val="0"/>
          <c:showBubbleSize val="0"/>
        </c:dLbls>
        <c:gapWidth val="25"/>
        <c:overlap val="100"/>
        <c:axId val="1249008432"/>
        <c:axId val="1249006512"/>
        <c:extLst>
          <c:ext xmlns:c15="http://schemas.microsoft.com/office/drawing/2012/chart" uri="{02D57815-91ED-43cb-92C2-25804820EDAC}">
            <c15:filteredBarSeries>
              <c15:ser>
                <c:idx val="1"/>
                <c:order val="1"/>
                <c:tx>
                  <c:strRef>
                    <c:extLst>
                      <c:ext uri="{02D57815-91ED-43cb-92C2-25804820EDAC}">
                        <c15:formulaRef>
                          <c15:sqref>Sheet2!$E$58</c15:sqref>
                        </c15:formulaRef>
                      </c:ext>
                    </c:extLst>
                    <c:strCache>
                      <c:ptCount val="1"/>
                      <c:pt idx="0">
                        <c:v>sel. Calls</c:v>
                      </c:pt>
                    </c:strCache>
                  </c:strRef>
                </c:tx>
                <c:spPr>
                  <a:solidFill>
                    <a:schemeClr val="accent2"/>
                  </a:solidFill>
                  <a:ln>
                    <a:noFill/>
                  </a:ln>
                  <a:effectLst/>
                </c:spPr>
                <c:invertIfNegative val="0"/>
                <c:val>
                  <c:numRef>
                    <c:extLst>
                      <c:ext uri="{02D57815-91ED-43cb-92C2-25804820EDAC}">
                        <c15:formulaRef>
                          <c15:sqref>Sheet2!$E$59:$E$63</c15:sqref>
                        </c15:formulaRef>
                      </c:ext>
                    </c:extLst>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2-E71F-4AE8-87AF-45F60D8DD7BF}"/>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Sheet2!$F$58</c15:sqref>
                        </c15:formulaRef>
                      </c:ext>
                    </c:extLst>
                    <c:strCache>
                      <c:ptCount val="1"/>
                      <c:pt idx="0">
                        <c:v>sel. Amount</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Sheet2!$F$59:$F$63</c15:sqref>
                        </c15:formulaRef>
                      </c:ext>
                    </c:extLst>
                    <c:numCache>
                      <c:formatCode>General</c:formatCode>
                      <c:ptCount val="5"/>
                      <c:pt idx="0">
                        <c:v>18415</c:v>
                      </c:pt>
                      <c:pt idx="1">
                        <c:v>#N/A</c:v>
                      </c:pt>
                      <c:pt idx="2">
                        <c:v>#N/A</c:v>
                      </c:pt>
                      <c:pt idx="3">
                        <c:v>#N/A</c:v>
                      </c:pt>
                      <c:pt idx="4">
                        <c:v>#N/A</c:v>
                      </c:pt>
                    </c:numCache>
                  </c:numRef>
                </c:val>
                <c:extLst xmlns:c15="http://schemas.microsoft.com/office/drawing/2012/chart">
                  <c:ext xmlns:c16="http://schemas.microsoft.com/office/drawing/2014/chart" uri="{C3380CC4-5D6E-409C-BE32-E72D297353CC}">
                    <c16:uniqueId val="{00000003-E71F-4AE8-87AF-45F60D8DD7BF}"/>
                  </c:ext>
                </c:extLst>
              </c15:ser>
            </c15:filteredBarSeries>
          </c:ext>
        </c:extLst>
      </c:barChart>
      <c:catAx>
        <c:axId val="1249008432"/>
        <c:scaling>
          <c:orientation val="maxMin"/>
        </c:scaling>
        <c:delete val="1"/>
        <c:axPos val="l"/>
        <c:numFmt formatCode="General" sourceLinked="1"/>
        <c:majorTickMark val="out"/>
        <c:minorTickMark val="none"/>
        <c:tickLblPos val="nextTo"/>
        <c:crossAx val="1249006512"/>
        <c:crosses val="autoZero"/>
        <c:auto val="1"/>
        <c:lblAlgn val="ctr"/>
        <c:lblOffset val="100"/>
        <c:noMultiLvlLbl val="0"/>
      </c:catAx>
      <c:valAx>
        <c:axId val="1249006512"/>
        <c:scaling>
          <c:orientation val="minMax"/>
        </c:scaling>
        <c:delete val="1"/>
        <c:axPos val="t"/>
        <c:numFmt formatCode="General" sourceLinked="1"/>
        <c:majorTickMark val="out"/>
        <c:minorTickMark val="none"/>
        <c:tickLblPos val="nextTo"/>
        <c:crossAx val="124900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b" anchorCtr="1"/>
          <a:lstStyle/>
          <a:p>
            <a:pPr>
              <a:defRPr sz="1600" b="0" i="0" u="none" strike="noStrike" kern="1200" spc="0" baseline="0">
                <a:solidFill>
                  <a:srgbClr val="FF0000"/>
                </a:solidFill>
                <a:latin typeface="+mn-lt"/>
                <a:ea typeface="+mn-ea"/>
                <a:cs typeface="+mn-cs"/>
              </a:defRPr>
            </a:pPr>
            <a:r>
              <a:rPr lang="en-US" sz="1600" baseline="0">
                <a:solidFill>
                  <a:srgbClr val="FF0000"/>
                </a:solidFill>
              </a:rPr>
              <a:t>Calls</a:t>
            </a:r>
          </a:p>
        </c:rich>
      </c:tx>
      <c:layout>
        <c:manualLayout>
          <c:xMode val="edge"/>
          <c:yMode val="edge"/>
          <c:x val="4.8745412810684299E-2"/>
          <c:y val="6.4426991662792166E-3"/>
        </c:manualLayout>
      </c:layout>
      <c:overlay val="0"/>
      <c:spPr>
        <a:noFill/>
        <a:ln>
          <a:noFill/>
        </a:ln>
        <a:effectLst>
          <a:outerShdw blurRad="50800" dist="50800" dir="5400000" sx="105000" sy="105000" algn="ctr" rotWithShape="0">
            <a:schemeClr val="bg1"/>
          </a:outerShdw>
        </a:effectLst>
      </c:spPr>
      <c:txPr>
        <a:bodyPr rot="0" spcFirstLastPara="1" vertOverflow="ellipsis" vert="horz" wrap="square" anchor="b" anchorCtr="1"/>
        <a:lstStyle/>
        <a:p>
          <a:pPr>
            <a:defRPr sz="1600" b="0" i="0" u="none" strike="noStrike" kern="1200" spc="0" baseline="0">
              <a:solidFill>
                <a:srgbClr val="FF0000"/>
              </a:solidFill>
              <a:latin typeface="+mn-lt"/>
              <a:ea typeface="+mn-ea"/>
              <a:cs typeface="+mn-cs"/>
            </a:defRPr>
          </a:pPr>
          <a:endParaRPr lang="en-US"/>
        </a:p>
      </c:txPr>
    </c:title>
    <c:autoTitleDeleted val="0"/>
    <c:plotArea>
      <c:layout>
        <c:manualLayout>
          <c:layoutTarget val="inner"/>
          <c:xMode val="edge"/>
          <c:yMode val="edge"/>
          <c:x val="0.10271589986322943"/>
          <c:y val="7.9501904915721719E-2"/>
          <c:w val="0.88525495865586079"/>
          <c:h val="0.86363793871711314"/>
        </c:manualLayout>
      </c:layout>
      <c:barChart>
        <c:barDir val="bar"/>
        <c:grouping val="clustered"/>
        <c:varyColors val="0"/>
        <c:ser>
          <c:idx val="0"/>
          <c:order val="0"/>
          <c:spPr>
            <a:solidFill>
              <a:schemeClr val="bg2">
                <a:lumMod val="90000"/>
              </a:schemeClr>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Sheet2!$B$59:$B$63</c:f>
              <c:strCache>
                <c:ptCount val="5"/>
                <c:pt idx="0">
                  <c:v>R01</c:v>
                </c:pt>
                <c:pt idx="1">
                  <c:v>R02</c:v>
                </c:pt>
                <c:pt idx="2">
                  <c:v>R03</c:v>
                </c:pt>
                <c:pt idx="3">
                  <c:v>R04</c:v>
                </c:pt>
                <c:pt idx="4">
                  <c:v>R05</c:v>
                </c:pt>
              </c:strCache>
            </c:strRef>
          </c:cat>
          <c:val>
            <c:numRef>
              <c:f>Sheet2!$C$59:$C$63</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26F4-4F8F-9E87-6ACA2017168C}"/>
            </c:ext>
          </c:extLst>
        </c:ser>
        <c:ser>
          <c:idx val="1"/>
          <c:order val="1"/>
          <c:tx>
            <c:strRef>
              <c:f>Sheet2!$E$58</c:f>
              <c:strCache>
                <c:ptCount val="1"/>
                <c:pt idx="0">
                  <c:v>sel. Calls</c:v>
                </c:pt>
              </c:strCache>
            </c:strRef>
          </c:tx>
          <c:spPr>
            <a:solidFill>
              <a:srgbClr val="FF0000"/>
            </a:solidFill>
            <a:ln>
              <a:noFill/>
            </a:ln>
            <a:effectLst/>
          </c:spPr>
          <c:invertIfNegative val="0"/>
          <c:val>
            <c:numRef>
              <c:f>Sheet2!$E$59:$E$63</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26F4-4F8F-9E87-6ACA2017168C}"/>
            </c:ext>
          </c:extLst>
        </c:ser>
        <c:dLbls>
          <c:showLegendKey val="0"/>
          <c:showVal val="0"/>
          <c:showCatName val="0"/>
          <c:showSerName val="0"/>
          <c:showPercent val="0"/>
          <c:showBubbleSize val="0"/>
        </c:dLbls>
        <c:gapWidth val="25"/>
        <c:overlap val="100"/>
        <c:axId val="1249008432"/>
        <c:axId val="1249006512"/>
      </c:barChart>
      <c:catAx>
        <c:axId val="12490084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006512"/>
        <c:crosses val="autoZero"/>
        <c:auto val="1"/>
        <c:lblAlgn val="ctr"/>
        <c:lblOffset val="100"/>
        <c:noMultiLvlLbl val="0"/>
      </c:catAx>
      <c:valAx>
        <c:axId val="1249006512"/>
        <c:scaling>
          <c:orientation val="minMax"/>
          <c:min val="0"/>
        </c:scaling>
        <c:delete val="1"/>
        <c:axPos val="t"/>
        <c:numFmt formatCode="General" sourceLinked="1"/>
        <c:majorTickMark val="none"/>
        <c:minorTickMark val="none"/>
        <c:tickLblPos val="nextTo"/>
        <c:crossAx val="124900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F0000"/>
                </a:solidFill>
              </a:rPr>
              <a:t>Female </a:t>
            </a:r>
            <a:r>
              <a:rPr lang="en-IN">
                <a:solidFill>
                  <a:schemeClr val="tx1"/>
                </a:solidFill>
              </a:rPr>
              <a:t>vs</a:t>
            </a:r>
            <a:r>
              <a:rPr lang="en-IN">
                <a:solidFill>
                  <a:srgbClr val="FF0000"/>
                </a:solidFill>
              </a:rPr>
              <a:t> </a:t>
            </a:r>
            <a:r>
              <a:rPr lang="en-IN">
                <a:solidFill>
                  <a:srgbClr val="92D050"/>
                </a:solidFill>
              </a:rPr>
              <a:t>Male</a:t>
            </a:r>
            <a:r>
              <a:rPr lang="en-IN" baseline="0">
                <a:solidFill>
                  <a:srgbClr val="FF0000"/>
                </a:solidFill>
              </a:rPr>
              <a:t> </a:t>
            </a:r>
            <a:r>
              <a:rPr lang="en-IN" baseline="0">
                <a:solidFill>
                  <a:schemeClr val="tx1"/>
                </a:solidFill>
              </a:rPr>
              <a:t>Callers</a:t>
            </a:r>
            <a:endParaRPr lang="en-IN">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Sheet2!$B$75:$B$76</c:f>
              <c:strCache>
                <c:ptCount val="1"/>
                <c:pt idx="0">
                  <c:v>Female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Sheet2!$A$77:$A$80</c:f>
              <c:strCache>
                <c:ptCount val="3"/>
                <c:pt idx="0">
                  <c:v>Delhi</c:v>
                </c:pt>
                <c:pt idx="1">
                  <c:v>Jaipur</c:v>
                </c:pt>
                <c:pt idx="2">
                  <c:v>Mumbai</c:v>
                </c:pt>
              </c:strCache>
            </c:strRef>
          </c:cat>
          <c:val>
            <c:numRef>
              <c:f>Sheet2!$B$77:$B$80</c:f>
              <c:numCache>
                <c:formatCode>#,##0</c:formatCode>
                <c:ptCount val="3"/>
                <c:pt idx="0">
                  <c:v>129</c:v>
                </c:pt>
                <c:pt idx="1">
                  <c:v>70</c:v>
                </c:pt>
                <c:pt idx="2">
                  <c:v>326</c:v>
                </c:pt>
              </c:numCache>
            </c:numRef>
          </c:val>
          <c:extLst>
            <c:ext xmlns:c16="http://schemas.microsoft.com/office/drawing/2014/chart" uri="{C3380CC4-5D6E-409C-BE32-E72D297353CC}">
              <c16:uniqueId val="{00000000-D481-4D1D-A967-8C0C19A387DE}"/>
            </c:ext>
          </c:extLst>
        </c:ser>
        <c:ser>
          <c:idx val="1"/>
          <c:order val="1"/>
          <c:tx>
            <c:strRef>
              <c:f>Sheet2!$C$75:$C$76</c:f>
              <c:strCache>
                <c:ptCount val="1"/>
                <c:pt idx="0">
                  <c:v>Male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Sheet2!$A$77:$A$80</c:f>
              <c:strCache>
                <c:ptCount val="3"/>
                <c:pt idx="0">
                  <c:v>Delhi</c:v>
                </c:pt>
                <c:pt idx="1">
                  <c:v>Jaipur</c:v>
                </c:pt>
                <c:pt idx="2">
                  <c:v>Mumbai</c:v>
                </c:pt>
              </c:strCache>
            </c:strRef>
          </c:cat>
          <c:val>
            <c:numRef>
              <c:f>Sheet2!$C$77:$C$80</c:f>
              <c:numCache>
                <c:formatCode>#,##0</c:formatCode>
                <c:ptCount val="3"/>
                <c:pt idx="0">
                  <c:v>206</c:v>
                </c:pt>
                <c:pt idx="1">
                  <c:v>206</c:v>
                </c:pt>
                <c:pt idx="2">
                  <c:v>63</c:v>
                </c:pt>
              </c:numCache>
            </c:numRef>
          </c:val>
          <c:extLst>
            <c:ext xmlns:c16="http://schemas.microsoft.com/office/drawing/2014/chart" uri="{C3380CC4-5D6E-409C-BE32-E72D297353CC}">
              <c16:uniqueId val="{00000001-D481-4D1D-A967-8C0C19A387DE}"/>
            </c:ext>
          </c:extLst>
        </c:ser>
        <c:dLbls>
          <c:dLblPos val="ctr"/>
          <c:showLegendKey val="0"/>
          <c:showVal val="1"/>
          <c:showCatName val="0"/>
          <c:showSerName val="0"/>
          <c:showPercent val="0"/>
          <c:showBubbleSize val="0"/>
        </c:dLbls>
        <c:gapWidth val="25"/>
        <c:overlap val="100"/>
        <c:axId val="1518428464"/>
        <c:axId val="1518430384"/>
      </c:barChart>
      <c:catAx>
        <c:axId val="1518428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430384"/>
        <c:crosses val="autoZero"/>
        <c:auto val="1"/>
        <c:lblAlgn val="ctr"/>
        <c:lblOffset val="100"/>
        <c:noMultiLvlLbl val="0"/>
      </c:catAx>
      <c:valAx>
        <c:axId val="1518430384"/>
        <c:scaling>
          <c:orientation val="minMax"/>
        </c:scaling>
        <c:delete val="1"/>
        <c:axPos val="l"/>
        <c:numFmt formatCode="#,##0" sourceLinked="1"/>
        <c:majorTickMark val="out"/>
        <c:minorTickMark val="none"/>
        <c:tickLblPos val="nextTo"/>
        <c:crossAx val="151842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new.xlsx]Sheet2!rating</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Rating</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325155138339405E-2"/>
          <c:y val="0.19123651965919022"/>
          <c:w val="0.86665304590925862"/>
          <c:h val="0.69618614135328616"/>
        </c:manualLayout>
      </c:layout>
      <c:barChart>
        <c:barDir val="col"/>
        <c:grouping val="clustered"/>
        <c:varyColors val="0"/>
        <c:ser>
          <c:idx val="0"/>
          <c:order val="0"/>
          <c:tx>
            <c:strRef>
              <c:f>Sheet2!$B$85</c:f>
              <c:strCache>
                <c:ptCount val="1"/>
                <c:pt idx="0">
                  <c:v>Total</c:v>
                </c:pt>
              </c:strCache>
            </c:strRef>
          </c:tx>
          <c:spPr>
            <a:solidFill>
              <a:schemeClr val="accent1"/>
            </a:solidFill>
            <a:ln>
              <a:noFill/>
            </a:ln>
            <a:effectLst/>
          </c:spPr>
          <c:invertIfNegative val="0"/>
          <c:cat>
            <c:strRef>
              <c:f>Sheet2!$A$86:$A$91</c:f>
              <c:strCache>
                <c:ptCount val="5"/>
                <c:pt idx="0">
                  <c:v>1</c:v>
                </c:pt>
                <c:pt idx="1">
                  <c:v>2</c:v>
                </c:pt>
                <c:pt idx="2">
                  <c:v>3</c:v>
                </c:pt>
                <c:pt idx="3">
                  <c:v>4</c:v>
                </c:pt>
                <c:pt idx="4">
                  <c:v>5</c:v>
                </c:pt>
              </c:strCache>
            </c:strRef>
          </c:cat>
          <c:val>
            <c:numRef>
              <c:f>Sheet2!$B$86:$B$91</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9348-4D04-AA18-D2CE38D12856}"/>
            </c:ext>
          </c:extLst>
        </c:ser>
        <c:dLbls>
          <c:showLegendKey val="0"/>
          <c:showVal val="0"/>
          <c:showCatName val="0"/>
          <c:showSerName val="0"/>
          <c:showPercent val="0"/>
          <c:showBubbleSize val="0"/>
        </c:dLbls>
        <c:gapWidth val="25"/>
        <c:overlap val="-27"/>
        <c:axId val="360303088"/>
        <c:axId val="160454144"/>
      </c:barChart>
      <c:catAx>
        <c:axId val="36030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4144"/>
        <c:crosses val="autoZero"/>
        <c:auto val="1"/>
        <c:lblAlgn val="ctr"/>
        <c:lblOffset val="100"/>
        <c:noMultiLvlLbl val="0"/>
      </c:catAx>
      <c:valAx>
        <c:axId val="1604541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30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7</xdr:col>
      <xdr:colOff>33693</xdr:colOff>
      <xdr:row>1</xdr:row>
      <xdr:rowOff>22678</xdr:rowOff>
    </xdr:from>
    <xdr:to>
      <xdr:col>9</xdr:col>
      <xdr:colOff>132087</xdr:colOff>
      <xdr:row>15</xdr:row>
      <xdr:rowOff>43632</xdr:rowOff>
    </xdr:to>
    <mc:AlternateContent xmlns:mc="http://schemas.openxmlformats.org/markup-compatibility/2006">
      <mc:Choice xmlns:a14="http://schemas.microsoft.com/office/drawing/2010/main" Requires="a14">
        <xdr:graphicFrame macro="">
          <xdr:nvGraphicFramePr>
            <xdr:cNvPr id="2" name="Representative">
              <a:extLst>
                <a:ext uri="{FF2B5EF4-FFF2-40B4-BE49-F238E27FC236}">
                  <a16:creationId xmlns:a16="http://schemas.microsoft.com/office/drawing/2014/main" id="{1B25BF69-DBE1-8B1A-3DB1-47F8477FE12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5744103" y="206292"/>
              <a:ext cx="1824370" cy="2591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7108</xdr:colOff>
      <xdr:row>18</xdr:row>
      <xdr:rowOff>6209</xdr:rowOff>
    </xdr:from>
    <xdr:to>
      <xdr:col>9</xdr:col>
      <xdr:colOff>116979</xdr:colOff>
      <xdr:row>28</xdr:row>
      <xdr:rowOff>181097</xdr:rowOff>
    </xdr:to>
    <xdr:graphicFrame macro="">
      <xdr:nvGraphicFramePr>
        <xdr:cNvPr id="4" name="Chart 3">
          <a:extLst>
            <a:ext uri="{FF2B5EF4-FFF2-40B4-BE49-F238E27FC236}">
              <a16:creationId xmlns:a16="http://schemas.microsoft.com/office/drawing/2014/main" id="{55B13A87-3805-3036-34F4-DACA26C33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672488</xdr:colOff>
      <xdr:row>29</xdr:row>
      <xdr:rowOff>115158</xdr:rowOff>
    </xdr:from>
    <xdr:to>
      <xdr:col>10</xdr:col>
      <xdr:colOff>860249</xdr:colOff>
      <xdr:row>44</xdr:row>
      <xdr:rowOff>93035</xdr:rowOff>
    </xdr:to>
    <xdr:graphicFrame macro="">
      <xdr:nvGraphicFramePr>
        <xdr:cNvPr id="5" name="Chart 4">
          <a:extLst>
            <a:ext uri="{FF2B5EF4-FFF2-40B4-BE49-F238E27FC236}">
              <a16:creationId xmlns:a16="http://schemas.microsoft.com/office/drawing/2014/main" id="{D7B0F004-9E38-FEB1-501D-F936886D1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38268</xdr:colOff>
      <xdr:row>48</xdr:row>
      <xdr:rowOff>0</xdr:rowOff>
    </xdr:from>
    <xdr:to>
      <xdr:col>16</xdr:col>
      <xdr:colOff>67954</xdr:colOff>
      <xdr:row>61</xdr:row>
      <xdr:rowOff>36723</xdr:rowOff>
    </xdr:to>
    <xdr:graphicFrame macro="">
      <xdr:nvGraphicFramePr>
        <xdr:cNvPr id="6" name="Chart 5">
          <a:extLst>
            <a:ext uri="{FF2B5EF4-FFF2-40B4-BE49-F238E27FC236}">
              <a16:creationId xmlns:a16="http://schemas.microsoft.com/office/drawing/2014/main" id="{F1F73DDB-A8ED-DDD0-1F5C-6F529BF7C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954796</xdr:colOff>
      <xdr:row>47</xdr:row>
      <xdr:rowOff>174434</xdr:rowOff>
    </xdr:from>
    <xdr:to>
      <xdr:col>10</xdr:col>
      <xdr:colOff>798722</xdr:colOff>
      <xdr:row>61</xdr:row>
      <xdr:rowOff>1</xdr:rowOff>
    </xdr:to>
    <xdr:graphicFrame macro="">
      <xdr:nvGraphicFramePr>
        <xdr:cNvPr id="7" name="Chart 6">
          <a:extLst>
            <a:ext uri="{FF2B5EF4-FFF2-40B4-BE49-F238E27FC236}">
              <a16:creationId xmlns:a16="http://schemas.microsoft.com/office/drawing/2014/main" id="{92BE9653-A14E-4F5B-B893-E847EF070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100988</xdr:colOff>
      <xdr:row>70</xdr:row>
      <xdr:rowOff>11017</xdr:rowOff>
    </xdr:from>
    <xdr:to>
      <xdr:col>10</xdr:col>
      <xdr:colOff>0</xdr:colOff>
      <xdr:row>79</xdr:row>
      <xdr:rowOff>0</xdr:rowOff>
    </xdr:to>
    <xdr:graphicFrame macro="">
      <xdr:nvGraphicFramePr>
        <xdr:cNvPr id="3" name="Chart 2">
          <a:extLst>
            <a:ext uri="{FF2B5EF4-FFF2-40B4-BE49-F238E27FC236}">
              <a16:creationId xmlns:a16="http://schemas.microsoft.com/office/drawing/2014/main" id="{488A8B35-6D33-0489-198D-FE8B60CCD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4591</xdr:colOff>
      <xdr:row>83</xdr:row>
      <xdr:rowOff>10098</xdr:rowOff>
    </xdr:from>
    <xdr:to>
      <xdr:col>9</xdr:col>
      <xdr:colOff>169844</xdr:colOff>
      <xdr:row>97</xdr:row>
      <xdr:rowOff>182696</xdr:rowOff>
    </xdr:to>
    <xdr:graphicFrame macro="">
      <xdr:nvGraphicFramePr>
        <xdr:cNvPr id="8" name="Chart 7">
          <a:extLst>
            <a:ext uri="{FF2B5EF4-FFF2-40B4-BE49-F238E27FC236}">
              <a16:creationId xmlns:a16="http://schemas.microsoft.com/office/drawing/2014/main" id="{C8525710-F33C-15AC-0F92-7EDBABDD5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2</xdr:row>
      <xdr:rowOff>0</xdr:rowOff>
    </xdr:from>
    <xdr:to>
      <xdr:col>4</xdr:col>
      <xdr:colOff>240632</xdr:colOff>
      <xdr:row>8</xdr:row>
      <xdr:rowOff>70184</xdr:rowOff>
    </xdr:to>
    <xdr:sp macro="" textlink="Sheet2!A4">
      <xdr:nvSpPr>
        <xdr:cNvPr id="2" name="Rectangle: Rounded Corners 1">
          <a:extLst>
            <a:ext uri="{FF2B5EF4-FFF2-40B4-BE49-F238E27FC236}">
              <a16:creationId xmlns:a16="http://schemas.microsoft.com/office/drawing/2014/main" id="{34514473-15A8-D236-E2A8-9ECD853A8CF3}"/>
            </a:ext>
          </a:extLst>
        </xdr:cNvPr>
        <xdr:cNvSpPr/>
      </xdr:nvSpPr>
      <xdr:spPr>
        <a:xfrm>
          <a:off x="533400" y="360947"/>
          <a:ext cx="1431758" cy="1143000"/>
        </a:xfrm>
        <a:prstGeom prst="roundRect">
          <a:avLst/>
        </a:prstGeom>
        <a:solidFill>
          <a:srgbClr val="C0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9A605F0-FFF8-45D8-8F78-1706B84D2528}" type="TxLink">
            <a:rPr lang="en-US" sz="2400" b="0" i="0" u="none" strike="noStrike" cap="none" spc="0">
              <a:ln w="0"/>
              <a:solidFill>
                <a:schemeClr val="bg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pPr algn="ctr"/>
            <a:t>1,000</a:t>
          </a:fld>
          <a:endParaRPr lang="en-IN" sz="2400" b="0" cap="none" spc="0">
            <a:ln w="0"/>
            <a:solidFill>
              <a:schemeClr val="bg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clientData/>
  </xdr:twoCellAnchor>
  <xdr:oneCellAnchor>
    <xdr:from>
      <xdr:col>3</xdr:col>
      <xdr:colOff>44518</xdr:colOff>
      <xdr:row>2</xdr:row>
      <xdr:rowOff>98658</xdr:rowOff>
    </xdr:from>
    <xdr:ext cx="607193" cy="280205"/>
    <xdr:sp macro="" textlink="">
      <xdr:nvSpPr>
        <xdr:cNvPr id="10" name="TextBox 9">
          <a:extLst>
            <a:ext uri="{FF2B5EF4-FFF2-40B4-BE49-F238E27FC236}">
              <a16:creationId xmlns:a16="http://schemas.microsoft.com/office/drawing/2014/main" id="{D1F23BF4-4343-D0AF-1F81-C4F986695DCF}"/>
            </a:ext>
          </a:extLst>
        </xdr:cNvPr>
        <xdr:cNvSpPr txBox="1"/>
      </xdr:nvSpPr>
      <xdr:spPr>
        <a:xfrm>
          <a:off x="1097281" y="459605"/>
          <a:ext cx="60719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lvl="0" algn="l"/>
          <a:r>
            <a:rPr lang="en-IN" sz="1200">
              <a:solidFill>
                <a:schemeClr val="bg1"/>
              </a:solidFill>
              <a:latin typeface="Aptos" panose="020B0004020202020204" pitchFamily="34" charset="0"/>
            </a:rPr>
            <a:t>Calls</a:t>
          </a:r>
        </a:p>
      </xdr:txBody>
    </xdr:sp>
    <xdr:clientData/>
  </xdr:oneCellAnchor>
  <xdr:twoCellAnchor editAs="oneCell">
    <xdr:from>
      <xdr:col>2</xdr:col>
      <xdr:colOff>466422</xdr:colOff>
      <xdr:row>2</xdr:row>
      <xdr:rowOff>151597</xdr:rowOff>
    </xdr:from>
    <xdr:to>
      <xdr:col>3</xdr:col>
      <xdr:colOff>5514</xdr:colOff>
      <xdr:row>3</xdr:row>
      <xdr:rowOff>174456</xdr:rowOff>
    </xdr:to>
    <xdr:pic>
      <xdr:nvPicPr>
        <xdr:cNvPr id="11" name="Graphic 10" descr="Receiver with solid fill">
          <a:extLst>
            <a:ext uri="{FF2B5EF4-FFF2-40B4-BE49-F238E27FC236}">
              <a16:creationId xmlns:a16="http://schemas.microsoft.com/office/drawing/2014/main" id="{069903AC-B75D-4C1A-94DF-07D89729A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7422" y="512544"/>
          <a:ext cx="210855" cy="203333"/>
        </a:xfrm>
        <a:prstGeom prst="rect">
          <a:avLst/>
        </a:prstGeom>
      </xdr:spPr>
    </xdr:pic>
    <xdr:clientData/>
  </xdr:twoCellAnchor>
  <xdr:oneCellAnchor>
    <xdr:from>
      <xdr:col>2</xdr:col>
      <xdr:colOff>656523</xdr:colOff>
      <xdr:row>6</xdr:row>
      <xdr:rowOff>30877</xdr:rowOff>
    </xdr:from>
    <xdr:ext cx="480060" cy="311496"/>
    <xdr:sp macro="" textlink="Sheet2!A14">
      <xdr:nvSpPr>
        <xdr:cNvPr id="12" name="TextBox 11">
          <a:extLst>
            <a:ext uri="{FF2B5EF4-FFF2-40B4-BE49-F238E27FC236}">
              <a16:creationId xmlns:a16="http://schemas.microsoft.com/office/drawing/2014/main" id="{4F87FE6C-F20B-157E-3E89-45515CBD178E}"/>
            </a:ext>
          </a:extLst>
        </xdr:cNvPr>
        <xdr:cNvSpPr txBox="1"/>
      </xdr:nvSpPr>
      <xdr:spPr>
        <a:xfrm>
          <a:off x="1037523" y="1103693"/>
          <a:ext cx="48006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13450C7-C1BF-4AF8-A60C-E4776A06E58F}" type="TxLink">
            <a:rPr lang="en-US" sz="1400" b="0" i="0" u="none" strike="noStrike">
              <a:solidFill>
                <a:schemeClr val="bg1"/>
              </a:solidFill>
              <a:latin typeface="Aptos"/>
            </a:rPr>
            <a:pPr/>
            <a:t>189</a:t>
          </a:fld>
          <a:endParaRPr lang="en-IN" sz="1400">
            <a:solidFill>
              <a:schemeClr val="bg1"/>
            </a:solidFill>
          </a:endParaRPr>
        </a:p>
      </xdr:txBody>
    </xdr:sp>
    <xdr:clientData/>
  </xdr:oneCellAnchor>
  <xdr:twoCellAnchor>
    <xdr:from>
      <xdr:col>2</xdr:col>
      <xdr:colOff>137160</xdr:colOff>
      <xdr:row>10</xdr:row>
      <xdr:rowOff>93846</xdr:rowOff>
    </xdr:from>
    <xdr:to>
      <xdr:col>4</xdr:col>
      <xdr:colOff>250658</xdr:colOff>
      <xdr:row>17</xdr:row>
      <xdr:rowOff>20053</xdr:rowOff>
    </xdr:to>
    <xdr:sp macro="" textlink="">
      <xdr:nvSpPr>
        <xdr:cNvPr id="13" name="Rectangle: Rounded Corners 12">
          <a:extLst>
            <a:ext uri="{FF2B5EF4-FFF2-40B4-BE49-F238E27FC236}">
              <a16:creationId xmlns:a16="http://schemas.microsoft.com/office/drawing/2014/main" id="{8B43EB37-0EBC-4259-89C0-B9382FA69AEE}"/>
            </a:ext>
          </a:extLst>
        </xdr:cNvPr>
        <xdr:cNvSpPr/>
      </xdr:nvSpPr>
      <xdr:spPr>
        <a:xfrm>
          <a:off x="518160" y="1888557"/>
          <a:ext cx="1457024" cy="1189522"/>
        </a:xfrm>
        <a:prstGeom prst="roundRect">
          <a:avLst/>
        </a:prstGeom>
        <a:solidFill>
          <a:srgbClr val="C0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cap="none" spc="0">
              <a:ln w="0"/>
              <a:solidFill>
                <a:schemeClr val="bg1"/>
              </a:solidFill>
              <a:effectLst>
                <a:outerShdw blurRad="38100" dist="19050" dir="2700000" algn="tl" rotWithShape="0">
                  <a:schemeClr val="dk1">
                    <a:alpha val="40000"/>
                  </a:schemeClr>
                </a:outerShdw>
              </a:effectLst>
              <a:cs typeface="Arial" panose="020B0604020202020204" pitchFamily="34" charset="0"/>
            </a:rPr>
            <a:t>₹ 96,623</a:t>
          </a:r>
        </a:p>
      </xdr:txBody>
    </xdr:sp>
    <xdr:clientData/>
  </xdr:twoCellAnchor>
  <xdr:oneCellAnchor>
    <xdr:from>
      <xdr:col>2</xdr:col>
      <xdr:colOff>481261</xdr:colOff>
      <xdr:row>11</xdr:row>
      <xdr:rowOff>32084</xdr:rowOff>
    </xdr:from>
    <xdr:ext cx="1132973" cy="264560"/>
    <xdr:sp macro="" textlink="">
      <xdr:nvSpPr>
        <xdr:cNvPr id="14" name="TextBox 13">
          <a:extLst>
            <a:ext uri="{FF2B5EF4-FFF2-40B4-BE49-F238E27FC236}">
              <a16:creationId xmlns:a16="http://schemas.microsoft.com/office/drawing/2014/main" id="{A2862103-D07D-4969-9DB9-9A5D9331B585}"/>
            </a:ext>
          </a:extLst>
        </xdr:cNvPr>
        <xdr:cNvSpPr txBox="1"/>
      </xdr:nvSpPr>
      <xdr:spPr>
        <a:xfrm>
          <a:off x="862261" y="2007268"/>
          <a:ext cx="11329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lvl="0" algn="l"/>
          <a:r>
            <a:rPr lang="en-IN" sz="1100">
              <a:solidFill>
                <a:schemeClr val="bg1"/>
              </a:solidFill>
              <a:latin typeface="Aptos" panose="020B0004020202020204" pitchFamily="34" charset="0"/>
            </a:rPr>
            <a:t>Total</a:t>
          </a:r>
          <a:r>
            <a:rPr lang="en-IN" sz="1100" baseline="0">
              <a:solidFill>
                <a:schemeClr val="bg1"/>
              </a:solidFill>
              <a:latin typeface="Aptos" panose="020B0004020202020204" pitchFamily="34" charset="0"/>
            </a:rPr>
            <a:t> Amount</a:t>
          </a:r>
          <a:endParaRPr lang="en-IN" sz="1100">
            <a:solidFill>
              <a:schemeClr val="bg1"/>
            </a:solidFill>
            <a:latin typeface="Aptos" panose="020B0004020202020204" pitchFamily="34" charset="0"/>
          </a:endParaRPr>
        </a:p>
      </xdr:txBody>
    </xdr:sp>
    <xdr:clientData/>
  </xdr:oneCellAnchor>
  <xdr:twoCellAnchor editAs="oneCell">
    <xdr:from>
      <xdr:col>2</xdr:col>
      <xdr:colOff>285702</xdr:colOff>
      <xdr:row>11</xdr:row>
      <xdr:rowOff>85024</xdr:rowOff>
    </xdr:from>
    <xdr:to>
      <xdr:col>2</xdr:col>
      <xdr:colOff>486628</xdr:colOff>
      <xdr:row>12</xdr:row>
      <xdr:rowOff>105476</xdr:rowOff>
    </xdr:to>
    <xdr:pic>
      <xdr:nvPicPr>
        <xdr:cNvPr id="15" name="Graphic 14">
          <a:extLst>
            <a:ext uri="{FF2B5EF4-FFF2-40B4-BE49-F238E27FC236}">
              <a16:creationId xmlns:a16="http://schemas.microsoft.com/office/drawing/2014/main" id="{D89A7B51-E433-4523-9594-404F307C7C6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666702" y="2060208"/>
          <a:ext cx="200926" cy="200926"/>
        </a:xfrm>
        <a:prstGeom prst="rect">
          <a:avLst/>
        </a:prstGeom>
      </xdr:spPr>
    </xdr:pic>
    <xdr:clientData/>
  </xdr:twoCellAnchor>
  <xdr:oneCellAnchor>
    <xdr:from>
      <xdr:col>2</xdr:col>
      <xdr:colOff>461212</xdr:colOff>
      <xdr:row>14</xdr:row>
      <xdr:rowOff>154803</xdr:rowOff>
    </xdr:from>
    <xdr:ext cx="872288" cy="311496"/>
    <xdr:sp macro="" textlink="Sheet2!B14">
      <xdr:nvSpPr>
        <xdr:cNvPr id="16" name="TextBox 15">
          <a:extLst>
            <a:ext uri="{FF2B5EF4-FFF2-40B4-BE49-F238E27FC236}">
              <a16:creationId xmlns:a16="http://schemas.microsoft.com/office/drawing/2014/main" id="{EB875012-9A9A-4C26-8942-E2D3C96D4AD3}"/>
            </a:ext>
          </a:extLst>
        </xdr:cNvPr>
        <xdr:cNvSpPr txBox="1"/>
      </xdr:nvSpPr>
      <xdr:spPr>
        <a:xfrm>
          <a:off x="842212" y="2671408"/>
          <a:ext cx="87228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B35660C-CE2B-4544-ABDD-101EBDBFFEFF}" type="TxLink">
            <a:rPr lang="en-US" sz="1400" b="0" i="0" u="none" strike="noStrike">
              <a:solidFill>
                <a:schemeClr val="bg1"/>
              </a:solidFill>
              <a:latin typeface="Aptos"/>
            </a:rPr>
            <a:pPr/>
            <a:t>₹ 18,415</a:t>
          </a:fld>
          <a:endParaRPr lang="en-IN" sz="1400">
            <a:solidFill>
              <a:schemeClr val="bg1"/>
            </a:solidFill>
          </a:endParaRPr>
        </a:p>
      </xdr:txBody>
    </xdr:sp>
    <xdr:clientData/>
  </xdr:oneCellAnchor>
  <xdr:twoCellAnchor>
    <xdr:from>
      <xdr:col>2</xdr:col>
      <xdr:colOff>99060</xdr:colOff>
      <xdr:row>19</xdr:row>
      <xdr:rowOff>0</xdr:rowOff>
    </xdr:from>
    <xdr:to>
      <xdr:col>4</xdr:col>
      <xdr:colOff>300790</xdr:colOff>
      <xdr:row>25</xdr:row>
      <xdr:rowOff>70184</xdr:rowOff>
    </xdr:to>
    <xdr:sp macro="" textlink="">
      <xdr:nvSpPr>
        <xdr:cNvPr id="17" name="Rectangle: Rounded Corners 16">
          <a:extLst>
            <a:ext uri="{FF2B5EF4-FFF2-40B4-BE49-F238E27FC236}">
              <a16:creationId xmlns:a16="http://schemas.microsoft.com/office/drawing/2014/main" id="{F214B910-98DB-45AE-9F47-2EFD3B15B609}"/>
            </a:ext>
          </a:extLst>
        </xdr:cNvPr>
        <xdr:cNvSpPr/>
      </xdr:nvSpPr>
      <xdr:spPr>
        <a:xfrm>
          <a:off x="480060" y="3418974"/>
          <a:ext cx="1545256" cy="1153026"/>
        </a:xfrm>
        <a:prstGeom prst="roundRect">
          <a:avLst/>
        </a:prstGeom>
        <a:solidFill>
          <a:srgbClr val="C0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cap="none" spc="0">
              <a:ln w="0"/>
              <a:solidFill>
                <a:schemeClr val="bg1"/>
              </a:solidFill>
              <a:effectLst>
                <a:outerShdw blurRad="38100" dist="19050" dir="2700000" algn="tl" rotWithShape="0">
                  <a:schemeClr val="dk1">
                    <a:alpha val="40000"/>
                  </a:schemeClr>
                </a:outerShdw>
              </a:effectLst>
              <a:cs typeface="Arial" panose="020B0604020202020204" pitchFamily="34" charset="0"/>
            </a:rPr>
            <a:t>89,850</a:t>
          </a:r>
        </a:p>
      </xdr:txBody>
    </xdr:sp>
    <xdr:clientData/>
  </xdr:twoCellAnchor>
  <xdr:oneCellAnchor>
    <xdr:from>
      <xdr:col>2</xdr:col>
      <xdr:colOff>441157</xdr:colOff>
      <xdr:row>19</xdr:row>
      <xdr:rowOff>108684</xdr:rowOff>
    </xdr:from>
    <xdr:ext cx="1102894" cy="264560"/>
    <xdr:sp macro="" textlink="">
      <xdr:nvSpPr>
        <xdr:cNvPr id="18" name="TextBox 17">
          <a:extLst>
            <a:ext uri="{FF2B5EF4-FFF2-40B4-BE49-F238E27FC236}">
              <a16:creationId xmlns:a16="http://schemas.microsoft.com/office/drawing/2014/main" id="{10014C78-7BA1-41FA-8964-5C11E58A6CA6}"/>
            </a:ext>
          </a:extLst>
        </xdr:cNvPr>
        <xdr:cNvSpPr txBox="1"/>
      </xdr:nvSpPr>
      <xdr:spPr>
        <a:xfrm>
          <a:off x="822157" y="3527658"/>
          <a:ext cx="11028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lvl="0" algn="l"/>
          <a:r>
            <a:rPr lang="en-IN" sz="1100" b="1" i="0" u="none" strike="noStrike">
              <a:solidFill>
                <a:schemeClr val="bg1"/>
              </a:solidFill>
              <a:effectLst/>
              <a:latin typeface="Aptos" panose="020B0004020202020204" pitchFamily="34" charset="0"/>
              <a:ea typeface="+mn-ea"/>
              <a:cs typeface="+mn-cs"/>
            </a:rPr>
            <a:t>Total Duration</a:t>
          </a:r>
          <a:r>
            <a:rPr lang="en-IN" sz="1100">
              <a:solidFill>
                <a:schemeClr val="bg1"/>
              </a:solidFill>
              <a:effectLst/>
              <a:latin typeface="Aptos" panose="020B0004020202020204" pitchFamily="34" charset="0"/>
            </a:rPr>
            <a:t> </a:t>
          </a:r>
          <a:endParaRPr lang="en-IN" sz="1100">
            <a:solidFill>
              <a:schemeClr val="bg1"/>
            </a:solidFill>
            <a:latin typeface="Aptos" panose="020B0004020202020204" pitchFamily="34" charset="0"/>
          </a:endParaRPr>
        </a:p>
      </xdr:txBody>
    </xdr:sp>
    <xdr:clientData/>
  </xdr:oneCellAnchor>
  <xdr:twoCellAnchor editAs="oneCell">
    <xdr:from>
      <xdr:col>2</xdr:col>
      <xdr:colOff>266447</xdr:colOff>
      <xdr:row>19</xdr:row>
      <xdr:rowOff>141572</xdr:rowOff>
    </xdr:from>
    <xdr:to>
      <xdr:col>2</xdr:col>
      <xdr:colOff>469779</xdr:colOff>
      <xdr:row>20</xdr:row>
      <xdr:rowOff>164431</xdr:rowOff>
    </xdr:to>
    <xdr:pic>
      <xdr:nvPicPr>
        <xdr:cNvPr id="19" name="Graphic 18">
          <a:extLst>
            <a:ext uri="{FF2B5EF4-FFF2-40B4-BE49-F238E27FC236}">
              <a16:creationId xmlns:a16="http://schemas.microsoft.com/office/drawing/2014/main" id="{ADC2006C-E016-4C55-8B38-BDCC060D233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47447" y="3560546"/>
          <a:ext cx="203332" cy="203332"/>
        </a:xfrm>
        <a:prstGeom prst="rect">
          <a:avLst/>
        </a:prstGeom>
      </xdr:spPr>
    </xdr:pic>
    <xdr:clientData/>
  </xdr:twoCellAnchor>
  <xdr:oneCellAnchor>
    <xdr:from>
      <xdr:col>2</xdr:col>
      <xdr:colOff>532998</xdr:colOff>
      <xdr:row>23</xdr:row>
      <xdr:rowOff>40908</xdr:rowOff>
    </xdr:from>
    <xdr:ext cx="710264" cy="311496"/>
    <xdr:sp macro="" textlink="Sheet2!C14">
      <xdr:nvSpPr>
        <xdr:cNvPr id="20" name="TextBox 19">
          <a:extLst>
            <a:ext uri="{FF2B5EF4-FFF2-40B4-BE49-F238E27FC236}">
              <a16:creationId xmlns:a16="http://schemas.microsoft.com/office/drawing/2014/main" id="{38CCA42A-EFCB-4571-A2D2-C6450C2A65C8}"/>
            </a:ext>
          </a:extLst>
        </xdr:cNvPr>
        <xdr:cNvSpPr txBox="1"/>
      </xdr:nvSpPr>
      <xdr:spPr>
        <a:xfrm>
          <a:off x="913998" y="4181776"/>
          <a:ext cx="71026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6B2A297-ABF7-4B35-8BB0-D4C18D5B1792}" type="TxLink">
            <a:rPr lang="en-US" sz="1400" b="0" i="0" u="none" strike="noStrike">
              <a:solidFill>
                <a:schemeClr val="bg1"/>
              </a:solidFill>
              <a:latin typeface="Aptos"/>
            </a:rPr>
            <a:pPr/>
            <a:t>16,834</a:t>
          </a:fld>
          <a:endParaRPr lang="en-IN" sz="1400">
            <a:solidFill>
              <a:schemeClr val="bg1"/>
            </a:solidFill>
          </a:endParaRPr>
        </a:p>
      </xdr:txBody>
    </xdr:sp>
    <xdr:clientData/>
  </xdr:oneCellAnchor>
  <xdr:twoCellAnchor>
    <xdr:from>
      <xdr:col>2</xdr:col>
      <xdr:colOff>88631</xdr:colOff>
      <xdr:row>28</xdr:row>
      <xdr:rowOff>10027</xdr:rowOff>
    </xdr:from>
    <xdr:to>
      <xdr:col>4</xdr:col>
      <xdr:colOff>340894</xdr:colOff>
      <xdr:row>35</xdr:row>
      <xdr:rowOff>1</xdr:rowOff>
    </xdr:to>
    <xdr:sp macro="" textlink="">
      <xdr:nvSpPr>
        <xdr:cNvPr id="21" name="Rectangle: Rounded Corners 20">
          <a:extLst>
            <a:ext uri="{FF2B5EF4-FFF2-40B4-BE49-F238E27FC236}">
              <a16:creationId xmlns:a16="http://schemas.microsoft.com/office/drawing/2014/main" id="{BB23EC71-9C82-4889-A9AE-F92FDD487256}"/>
            </a:ext>
          </a:extLst>
        </xdr:cNvPr>
        <xdr:cNvSpPr/>
      </xdr:nvSpPr>
      <xdr:spPr>
        <a:xfrm>
          <a:off x="469631" y="5053264"/>
          <a:ext cx="1595789" cy="1253290"/>
        </a:xfrm>
        <a:prstGeom prst="roundRect">
          <a:avLst/>
        </a:prstGeom>
        <a:solidFill>
          <a:srgbClr val="C0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cap="none" spc="0">
              <a:ln w="0"/>
              <a:solidFill>
                <a:schemeClr val="bg1"/>
              </a:solidFill>
              <a:effectLst>
                <a:outerShdw blurRad="38100" dist="19050" dir="2700000" algn="tl" rotWithShape="0">
                  <a:schemeClr val="dk1">
                    <a:alpha val="40000"/>
                  </a:schemeClr>
                </a:outerShdw>
              </a:effectLst>
              <a:cs typeface="Arial" panose="020B0604020202020204" pitchFamily="34" charset="0"/>
            </a:rPr>
            <a:t>3.9</a:t>
          </a:r>
        </a:p>
      </xdr:txBody>
    </xdr:sp>
    <xdr:clientData/>
  </xdr:twoCellAnchor>
  <xdr:oneCellAnchor>
    <xdr:from>
      <xdr:col>2</xdr:col>
      <xdr:colOff>512142</xdr:colOff>
      <xdr:row>28</xdr:row>
      <xdr:rowOff>158814</xdr:rowOff>
    </xdr:from>
    <xdr:ext cx="951698" cy="264560"/>
    <xdr:sp macro="" textlink="">
      <xdr:nvSpPr>
        <xdr:cNvPr id="22" name="TextBox 21">
          <a:extLst>
            <a:ext uri="{FF2B5EF4-FFF2-40B4-BE49-F238E27FC236}">
              <a16:creationId xmlns:a16="http://schemas.microsoft.com/office/drawing/2014/main" id="{EC213B4D-9C06-4977-8038-BAC6ACAF649E}"/>
            </a:ext>
          </a:extLst>
        </xdr:cNvPr>
        <xdr:cNvSpPr txBox="1"/>
      </xdr:nvSpPr>
      <xdr:spPr>
        <a:xfrm>
          <a:off x="893142" y="5202051"/>
          <a:ext cx="95169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lvl="0" algn="l"/>
          <a:r>
            <a:rPr lang="en-IN" sz="1100" b="1" i="0" u="none" strike="noStrike">
              <a:solidFill>
                <a:schemeClr val="bg1"/>
              </a:solidFill>
              <a:effectLst/>
              <a:latin typeface="Aptos" panose="020B0004020202020204" pitchFamily="34" charset="0"/>
              <a:ea typeface="+mn-ea"/>
              <a:cs typeface="+mn-cs"/>
            </a:rPr>
            <a:t>Avg. Rating</a:t>
          </a:r>
          <a:r>
            <a:rPr lang="en-IN" sz="1100">
              <a:solidFill>
                <a:schemeClr val="bg1"/>
              </a:solidFill>
              <a:effectLst/>
              <a:latin typeface="Aptos" panose="020B0004020202020204" pitchFamily="34" charset="0"/>
            </a:rPr>
            <a:t> </a:t>
          </a:r>
          <a:endParaRPr lang="en-IN" sz="1100">
            <a:solidFill>
              <a:schemeClr val="bg1"/>
            </a:solidFill>
            <a:latin typeface="Aptos" panose="020B0004020202020204" pitchFamily="34" charset="0"/>
          </a:endParaRPr>
        </a:p>
      </xdr:txBody>
    </xdr:sp>
    <xdr:clientData/>
  </xdr:oneCellAnchor>
  <xdr:twoCellAnchor editAs="oneCell">
    <xdr:from>
      <xdr:col>2</xdr:col>
      <xdr:colOff>286103</xdr:colOff>
      <xdr:row>28</xdr:row>
      <xdr:rowOff>171653</xdr:rowOff>
    </xdr:from>
    <xdr:to>
      <xdr:col>2</xdr:col>
      <xdr:colOff>489436</xdr:colOff>
      <xdr:row>30</xdr:row>
      <xdr:rowOff>14039</xdr:rowOff>
    </xdr:to>
    <xdr:pic>
      <xdr:nvPicPr>
        <xdr:cNvPr id="23" name="Graphic 22">
          <a:extLst>
            <a:ext uri="{FF2B5EF4-FFF2-40B4-BE49-F238E27FC236}">
              <a16:creationId xmlns:a16="http://schemas.microsoft.com/office/drawing/2014/main" id="{DF754DAE-0946-4964-9886-21666F05EC9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67103" y="5214890"/>
          <a:ext cx="203333" cy="203333"/>
        </a:xfrm>
        <a:prstGeom prst="rect">
          <a:avLst/>
        </a:prstGeom>
      </xdr:spPr>
    </xdr:pic>
    <xdr:clientData/>
  </xdr:twoCellAnchor>
  <xdr:oneCellAnchor>
    <xdr:from>
      <xdr:col>2</xdr:col>
      <xdr:colOff>652914</xdr:colOff>
      <xdr:row>32</xdr:row>
      <xdr:rowOff>151196</xdr:rowOff>
    </xdr:from>
    <xdr:ext cx="480060" cy="311496"/>
    <xdr:sp macro="" textlink="Sheet2!D14">
      <xdr:nvSpPr>
        <xdr:cNvPr id="24" name="TextBox 23">
          <a:extLst>
            <a:ext uri="{FF2B5EF4-FFF2-40B4-BE49-F238E27FC236}">
              <a16:creationId xmlns:a16="http://schemas.microsoft.com/office/drawing/2014/main" id="{7D03A6CC-4B22-4369-9582-18A0280905FD}"/>
            </a:ext>
          </a:extLst>
        </xdr:cNvPr>
        <xdr:cNvSpPr txBox="1"/>
      </xdr:nvSpPr>
      <xdr:spPr>
        <a:xfrm>
          <a:off x="1033914" y="5916328"/>
          <a:ext cx="48006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96DF30B-A602-4CE0-830D-F06D76972153}" type="TxLink">
            <a:rPr lang="en-US" sz="1400" b="0" i="0" u="none" strike="noStrike">
              <a:solidFill>
                <a:schemeClr val="bg1"/>
              </a:solidFill>
              <a:latin typeface="Aptos"/>
            </a:rPr>
            <a:pPr/>
            <a:t>3.9</a:t>
          </a:fld>
          <a:endParaRPr lang="en-IN" sz="1400">
            <a:solidFill>
              <a:schemeClr val="bg1"/>
            </a:solidFill>
          </a:endParaRPr>
        </a:p>
      </xdr:txBody>
    </xdr:sp>
    <xdr:clientData/>
  </xdr:oneCellAnchor>
  <xdr:twoCellAnchor>
    <xdr:from>
      <xdr:col>2</xdr:col>
      <xdr:colOff>140367</xdr:colOff>
      <xdr:row>37</xdr:row>
      <xdr:rowOff>10025</xdr:rowOff>
    </xdr:from>
    <xdr:to>
      <xdr:col>4</xdr:col>
      <xdr:colOff>350921</xdr:colOff>
      <xdr:row>44</xdr:row>
      <xdr:rowOff>50130</xdr:rowOff>
    </xdr:to>
    <xdr:sp macro="" textlink="">
      <xdr:nvSpPr>
        <xdr:cNvPr id="25" name="Rectangle: Rounded Corners 24">
          <a:extLst>
            <a:ext uri="{FF2B5EF4-FFF2-40B4-BE49-F238E27FC236}">
              <a16:creationId xmlns:a16="http://schemas.microsoft.com/office/drawing/2014/main" id="{5594F855-85BF-4550-9A1A-11018643BA24}"/>
            </a:ext>
          </a:extLst>
        </xdr:cNvPr>
        <xdr:cNvSpPr/>
      </xdr:nvSpPr>
      <xdr:spPr>
        <a:xfrm>
          <a:off x="521367" y="6677525"/>
          <a:ext cx="1554080" cy="1303421"/>
        </a:xfrm>
        <a:prstGeom prst="roundRect">
          <a:avLst/>
        </a:prstGeom>
        <a:solidFill>
          <a:srgbClr val="C0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cap="none" spc="0">
              <a:ln w="0"/>
              <a:solidFill>
                <a:schemeClr val="bg1"/>
              </a:solidFill>
              <a:effectLst>
                <a:outerShdw blurRad="38100" dist="19050" dir="2700000" algn="tl" rotWithShape="0">
                  <a:schemeClr val="dk1">
                    <a:alpha val="40000"/>
                  </a:schemeClr>
                </a:outerShdw>
              </a:effectLst>
              <a:cs typeface="Arial" panose="020B0604020202020204" pitchFamily="34" charset="0"/>
            </a:rPr>
            <a:t>307</a:t>
          </a:r>
        </a:p>
      </xdr:txBody>
    </xdr:sp>
    <xdr:clientData/>
  </xdr:twoCellAnchor>
  <xdr:oneCellAnchor>
    <xdr:from>
      <xdr:col>2</xdr:col>
      <xdr:colOff>421106</xdr:colOff>
      <xdr:row>38</xdr:row>
      <xdr:rowOff>18444</xdr:rowOff>
    </xdr:from>
    <xdr:ext cx="1373604" cy="264560"/>
    <xdr:sp macro="" textlink="">
      <xdr:nvSpPr>
        <xdr:cNvPr id="26" name="TextBox 25">
          <a:extLst>
            <a:ext uri="{FF2B5EF4-FFF2-40B4-BE49-F238E27FC236}">
              <a16:creationId xmlns:a16="http://schemas.microsoft.com/office/drawing/2014/main" id="{FDE36174-EB19-427F-BA10-F4C096E0BC74}"/>
            </a:ext>
          </a:extLst>
        </xdr:cNvPr>
        <xdr:cNvSpPr txBox="1"/>
      </xdr:nvSpPr>
      <xdr:spPr>
        <a:xfrm>
          <a:off x="802106" y="6866418"/>
          <a:ext cx="13736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lvl="0" algn="l"/>
          <a:r>
            <a:rPr lang="en-IN" sz="1100" b="1" i="0" u="none" strike="noStrike">
              <a:solidFill>
                <a:schemeClr val="bg1"/>
              </a:solidFill>
              <a:effectLst/>
              <a:latin typeface="Aptos" panose="020B0004020202020204" pitchFamily="34" charset="0"/>
              <a:ea typeface="+mn-ea"/>
              <a:cs typeface="+mn-cs"/>
            </a:rPr>
            <a:t>Happy</a:t>
          </a:r>
          <a:r>
            <a:rPr lang="en-IN" sz="1100" b="1" i="0" u="none" strike="noStrike">
              <a:solidFill>
                <a:schemeClr val="tx1"/>
              </a:solidFill>
              <a:effectLst/>
              <a:latin typeface="Aptos" panose="020B0004020202020204" pitchFamily="34" charset="0"/>
              <a:ea typeface="+mn-ea"/>
              <a:cs typeface="+mn-cs"/>
            </a:rPr>
            <a:t> </a:t>
          </a:r>
          <a:r>
            <a:rPr lang="en-IN" sz="1100" b="1" i="0" u="none" strike="noStrike">
              <a:solidFill>
                <a:schemeClr val="bg1"/>
              </a:solidFill>
              <a:effectLst/>
              <a:latin typeface="Aptos" panose="020B0004020202020204" pitchFamily="34" charset="0"/>
              <a:ea typeface="+mn-ea"/>
              <a:cs typeface="+mn-cs"/>
            </a:rPr>
            <a:t>Customers</a:t>
          </a:r>
          <a:r>
            <a:rPr lang="en-IN" sz="1100">
              <a:effectLst/>
              <a:latin typeface="Aptos" panose="020B0004020202020204" pitchFamily="34" charset="0"/>
            </a:rPr>
            <a:t> </a:t>
          </a:r>
          <a:endParaRPr lang="en-IN" sz="1100">
            <a:solidFill>
              <a:schemeClr val="bg1"/>
            </a:solidFill>
            <a:latin typeface="Aptos" panose="020B0004020202020204" pitchFamily="34" charset="0"/>
          </a:endParaRPr>
        </a:p>
      </xdr:txBody>
    </xdr:sp>
    <xdr:clientData/>
  </xdr:oneCellAnchor>
  <xdr:twoCellAnchor editAs="oneCell">
    <xdr:from>
      <xdr:col>2</xdr:col>
      <xdr:colOff>257628</xdr:colOff>
      <xdr:row>38</xdr:row>
      <xdr:rowOff>41305</xdr:rowOff>
    </xdr:from>
    <xdr:to>
      <xdr:col>2</xdr:col>
      <xdr:colOff>460961</xdr:colOff>
      <xdr:row>39</xdr:row>
      <xdr:rowOff>64165</xdr:rowOff>
    </xdr:to>
    <xdr:pic>
      <xdr:nvPicPr>
        <xdr:cNvPr id="27" name="Graphic 26">
          <a:extLst>
            <a:ext uri="{FF2B5EF4-FFF2-40B4-BE49-F238E27FC236}">
              <a16:creationId xmlns:a16="http://schemas.microsoft.com/office/drawing/2014/main" id="{784E6516-10F3-466B-B516-463A40595B5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638628" y="6889279"/>
          <a:ext cx="203333" cy="203333"/>
        </a:xfrm>
        <a:prstGeom prst="rect">
          <a:avLst/>
        </a:prstGeom>
      </xdr:spPr>
    </xdr:pic>
    <xdr:clientData/>
  </xdr:twoCellAnchor>
  <xdr:oneCellAnchor>
    <xdr:from>
      <xdr:col>3</xdr:col>
      <xdr:colOff>22860</xdr:colOff>
      <xdr:row>41</xdr:row>
      <xdr:rowOff>151197</xdr:rowOff>
    </xdr:from>
    <xdr:ext cx="480060" cy="311496"/>
    <xdr:sp macro="" textlink="Sheet2!E14">
      <xdr:nvSpPr>
        <xdr:cNvPr id="28" name="TextBox 27">
          <a:extLst>
            <a:ext uri="{FF2B5EF4-FFF2-40B4-BE49-F238E27FC236}">
              <a16:creationId xmlns:a16="http://schemas.microsoft.com/office/drawing/2014/main" id="{C3158D91-D550-4087-A898-B36CC9D210CC}"/>
            </a:ext>
          </a:extLst>
        </xdr:cNvPr>
        <xdr:cNvSpPr txBox="1"/>
      </xdr:nvSpPr>
      <xdr:spPr>
        <a:xfrm>
          <a:off x="1075623" y="7540592"/>
          <a:ext cx="48006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4A6D8BB-1666-46F6-B86A-9C7D6530D428}" type="TxLink">
            <a:rPr lang="en-US" sz="1400" b="0" i="0" u="none" strike="noStrike">
              <a:solidFill>
                <a:schemeClr val="bg1"/>
              </a:solidFill>
              <a:latin typeface="Aptos"/>
            </a:rPr>
            <a:pPr/>
            <a:t>60</a:t>
          </a:fld>
          <a:endParaRPr lang="en-IN" sz="1400">
            <a:solidFill>
              <a:schemeClr val="bg1"/>
            </a:solidFill>
          </a:endParaRPr>
        </a:p>
      </xdr:txBody>
    </xdr:sp>
    <xdr:clientData/>
  </xdr:oneCellAnchor>
  <xdr:twoCellAnchor editAs="oneCell">
    <xdr:from>
      <xdr:col>17</xdr:col>
      <xdr:colOff>186320</xdr:colOff>
      <xdr:row>23</xdr:row>
      <xdr:rowOff>116178</xdr:rowOff>
    </xdr:from>
    <xdr:to>
      <xdr:col>20</xdr:col>
      <xdr:colOff>0</xdr:colOff>
      <xdr:row>35</xdr:row>
      <xdr:rowOff>55218</xdr:rowOff>
    </xdr:to>
    <mc:AlternateContent xmlns:mc="http://schemas.openxmlformats.org/markup-compatibility/2006" xmlns:a14="http://schemas.microsoft.com/office/drawing/2010/main">
      <mc:Choice Requires="a14">
        <xdr:graphicFrame macro="">
          <xdr:nvGraphicFramePr>
            <xdr:cNvPr id="30" name="Representative 1">
              <a:extLst>
                <a:ext uri="{FF2B5EF4-FFF2-40B4-BE49-F238E27FC236}">
                  <a16:creationId xmlns:a16="http://schemas.microsoft.com/office/drawing/2014/main" id="{72F7DCEE-E66B-4E21-A890-F599B66E560F}"/>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0612189" y="4367711"/>
              <a:ext cx="1821942" cy="2160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542441</xdr:colOff>
      <xdr:row>2</xdr:row>
      <xdr:rowOff>38744</xdr:rowOff>
    </xdr:from>
    <xdr:to>
      <xdr:col>14</xdr:col>
      <xdr:colOff>594102</xdr:colOff>
      <xdr:row>21</xdr:row>
      <xdr:rowOff>103321</xdr:rowOff>
    </xdr:to>
    <xdr:graphicFrame macro="">
      <xdr:nvGraphicFramePr>
        <xdr:cNvPr id="31" name="Chart 30">
          <a:extLst>
            <a:ext uri="{FF2B5EF4-FFF2-40B4-BE49-F238E27FC236}">
              <a16:creationId xmlns:a16="http://schemas.microsoft.com/office/drawing/2014/main" id="{BABC98D8-F097-417E-A79D-842290DB1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645765</xdr:colOff>
      <xdr:row>2</xdr:row>
      <xdr:rowOff>64577</xdr:rowOff>
    </xdr:from>
    <xdr:to>
      <xdr:col>20</xdr:col>
      <xdr:colOff>206645</xdr:colOff>
      <xdr:row>15</xdr:row>
      <xdr:rowOff>142069</xdr:rowOff>
    </xdr:to>
    <xdr:graphicFrame macro="">
      <xdr:nvGraphicFramePr>
        <xdr:cNvPr id="32" name="Chart 31">
          <a:extLst>
            <a:ext uri="{FF2B5EF4-FFF2-40B4-BE49-F238E27FC236}">
              <a16:creationId xmlns:a16="http://schemas.microsoft.com/office/drawing/2014/main" id="{C6AFAF86-D87B-4540-8F75-135B4C255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0</xdr:colOff>
      <xdr:row>23</xdr:row>
      <xdr:rowOff>0</xdr:rowOff>
    </xdr:from>
    <xdr:to>
      <xdr:col>17</xdr:col>
      <xdr:colOff>0</xdr:colOff>
      <xdr:row>47</xdr:row>
      <xdr:rowOff>0</xdr:rowOff>
    </xdr:to>
    <xdr:sp macro="" textlink="">
      <xdr:nvSpPr>
        <xdr:cNvPr id="36" name="Rectangle 35">
          <a:extLst>
            <a:ext uri="{FF2B5EF4-FFF2-40B4-BE49-F238E27FC236}">
              <a16:creationId xmlns:a16="http://schemas.microsoft.com/office/drawing/2014/main" id="{CBE5284B-0892-0538-CD9B-0772B895546D}"/>
            </a:ext>
          </a:extLst>
        </xdr:cNvPr>
        <xdr:cNvSpPr/>
      </xdr:nvSpPr>
      <xdr:spPr>
        <a:xfrm>
          <a:off x="3078480" y="4206240"/>
          <a:ext cx="7376160" cy="43891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604549</xdr:colOff>
      <xdr:row>24</xdr:row>
      <xdr:rowOff>0</xdr:rowOff>
    </xdr:from>
    <xdr:to>
      <xdr:col>16</xdr:col>
      <xdr:colOff>0</xdr:colOff>
      <xdr:row>45</xdr:row>
      <xdr:rowOff>167697</xdr:rowOff>
    </xdr:to>
    <xdr:graphicFrame macro="">
      <xdr:nvGraphicFramePr>
        <xdr:cNvPr id="9" name="Chart 8">
          <a:extLst>
            <a:ext uri="{FF2B5EF4-FFF2-40B4-BE49-F238E27FC236}">
              <a16:creationId xmlns:a16="http://schemas.microsoft.com/office/drawing/2014/main" id="{132C8729-2844-41FF-BF9A-345DDEA61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434562</xdr:colOff>
      <xdr:row>24</xdr:row>
      <xdr:rowOff>0</xdr:rowOff>
    </xdr:from>
    <xdr:to>
      <xdr:col>11</xdr:col>
      <xdr:colOff>320040</xdr:colOff>
      <xdr:row>45</xdr:row>
      <xdr:rowOff>122150</xdr:rowOff>
    </xdr:to>
    <xdr:graphicFrame macro="">
      <xdr:nvGraphicFramePr>
        <xdr:cNvPr id="29" name="Chart 28">
          <a:extLst>
            <a:ext uri="{FF2B5EF4-FFF2-40B4-BE49-F238E27FC236}">
              <a16:creationId xmlns:a16="http://schemas.microsoft.com/office/drawing/2014/main" id="{E27BB246-5579-4FE9-8CA8-FB1928A43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-1</xdr:colOff>
      <xdr:row>2</xdr:row>
      <xdr:rowOff>0</xdr:rowOff>
    </xdr:from>
    <xdr:to>
      <xdr:col>25</xdr:col>
      <xdr:colOff>0</xdr:colOff>
      <xdr:row>17</xdr:row>
      <xdr:rowOff>0</xdr:rowOff>
    </xdr:to>
    <xdr:graphicFrame macro="">
      <xdr:nvGraphicFramePr>
        <xdr:cNvPr id="37" name="Chart 36">
          <a:extLst>
            <a:ext uri="{FF2B5EF4-FFF2-40B4-BE49-F238E27FC236}">
              <a16:creationId xmlns:a16="http://schemas.microsoft.com/office/drawing/2014/main" id="{96460DCA-1D37-436E-9B1E-970868E95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739614</xdr:colOff>
      <xdr:row>2</xdr:row>
      <xdr:rowOff>0</xdr:rowOff>
    </xdr:from>
    <xdr:to>
      <xdr:col>30</xdr:col>
      <xdr:colOff>617838</xdr:colOff>
      <xdr:row>16</xdr:row>
      <xdr:rowOff>125895</xdr:rowOff>
    </xdr:to>
    <xdr:graphicFrame macro="">
      <xdr:nvGraphicFramePr>
        <xdr:cNvPr id="38" name="Chart 37">
          <a:extLst>
            <a:ext uri="{FF2B5EF4-FFF2-40B4-BE49-F238E27FC236}">
              <a16:creationId xmlns:a16="http://schemas.microsoft.com/office/drawing/2014/main" id="{EFA0201B-8C97-47CD-925B-B7E183566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18</xdr:col>
      <xdr:colOff>361628</xdr:colOff>
      <xdr:row>40</xdr:row>
      <xdr:rowOff>116239</xdr:rowOff>
    </xdr:from>
    <xdr:ext cx="8704882" cy="968644"/>
    <xdr:sp macro="" textlink="">
      <xdr:nvSpPr>
        <xdr:cNvPr id="3" name="TextBox 2">
          <a:extLst>
            <a:ext uri="{FF2B5EF4-FFF2-40B4-BE49-F238E27FC236}">
              <a16:creationId xmlns:a16="http://schemas.microsoft.com/office/drawing/2014/main" id="{BB101BCC-2F55-1FBD-CA22-62822A793569}"/>
            </a:ext>
          </a:extLst>
        </xdr:cNvPr>
        <xdr:cNvSpPr txBox="1"/>
      </xdr:nvSpPr>
      <xdr:spPr>
        <a:xfrm>
          <a:off x="11494577" y="7348781"/>
          <a:ext cx="8704882" cy="968644"/>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800" b="1">
              <a:solidFill>
                <a:srgbClr val="FF0000"/>
              </a:solidFill>
              <a:latin typeface="Arial Black" panose="020B0A04020102020204" pitchFamily="34" charset="0"/>
            </a:rPr>
            <a:t> Call</a:t>
          </a:r>
          <a:r>
            <a:rPr lang="en-IN" sz="4800" b="1" baseline="0">
              <a:solidFill>
                <a:srgbClr val="FF0000"/>
              </a:solidFill>
              <a:latin typeface="Arial Black" panose="020B0A04020102020204" pitchFamily="34" charset="0"/>
            </a:rPr>
            <a:t> Center Data Report</a:t>
          </a:r>
          <a:endParaRPr lang="en-IN" sz="4800" b="1">
            <a:solidFill>
              <a:srgbClr val="FF0000"/>
            </a:solidFill>
            <a:latin typeface="Arial Black" panose="020B0A04020102020204" pitchFamily="34" charset="0"/>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efreshedDate="46048.758817361108" backgroundQuery="1" createdVersion="8" refreshedVersion="8" minRefreshableVersion="3" recordCount="0" supportSubquery="1" supportAdvancedDrill="1" xr:uid="{86426B6D-EB05-4E67-BBD4-4825D2E7FAB1}">
  <cacheSource type="external" connectionId="1"/>
  <cacheFields count="3">
    <cacheField name="[customers].[City].[City]" caption="City" numFmtId="0" hierarchy="15" level="1">
      <sharedItems count="3">
        <s v="Delhi"/>
        <s v="Jaipur"/>
        <s v="Mumbai"/>
      </sharedItems>
    </cacheField>
    <cacheField name="[customers].[Gender].[Gender]" caption="Gend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efreshedDate="46048.758819097224" backgroundQuery="1" createdVersion="8" refreshedVersion="8" minRefreshableVersion="3" recordCount="0" supportSubquery="1" supportAdvancedDrill="1" xr:uid="{CAA7DC9A-7865-4569-A8F2-E299979627BF}">
  <cacheSource type="external" connectionId="1"/>
  <cacheFields count="6">
    <cacheField name="[Measures].[Avg. Rating]" caption="Avg. Rating" numFmtId="0" hierarchy="20" level="32767"/>
    <cacheField name="[Measures].[Total Duration]" caption="Total Duration" numFmtId="0" hierarchy="19" level="32767"/>
    <cacheField name="[Measures].[Call Count]" caption="Call Count" numFmtId="0" hierarchy="17" level="32767"/>
    <cacheField name="[Measures].[Total Amount]" caption="Total Amount" numFmtId="0" hierarchy="18" level="32767"/>
    <cacheField name="[Measures].[5* Rating]" caption="5* Rating"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oneField="1">
      <fieldsUsage count="1">
        <fieldUsage x="1"/>
      </fieldsUsage>
    </cacheHierarchy>
    <cacheHierarchy uniqueName="[Measures].[Avg. Rating]" caption="Avg. Rating" measure="1" displayFolder="" measureGroup="calls" count="0" oneField="1">
      <fieldsUsage count="1">
        <fieldUsage x="0"/>
      </fieldsUsage>
    </cacheHierarchy>
    <cacheHierarchy uniqueName="[Measures].[5* Rating]" caption="5*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efreshedDate="46048.758828472222" backgroundQuery="1" createdVersion="8" refreshedVersion="8" minRefreshableVersion="3" recordCount="0" supportSubquery="1" supportAdvancedDrill="1" xr:uid="{E2D71873-AA84-4AD1-BC28-1EF060406B56}">
  <cacheSource type="external" connectionId="1"/>
  <cacheFields count="6">
    <cacheField name="[Measures].[Avg. Rating]" caption="Avg. Rating" numFmtId="0" hierarchy="20" level="32767"/>
    <cacheField name="[Measures].[Total Duration]" caption="Total Duration" numFmtId="0" hierarchy="19" level="32767"/>
    <cacheField name="[Measures].[Call Count]" caption="Call Count" numFmtId="0" hierarchy="17" level="32767"/>
    <cacheField name="[Measures].[Total Amount]" caption="Total Amount" numFmtId="0" hierarchy="18" level="32767"/>
    <cacheField name="[Measures].[5* Rating]" caption="5* Rating"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oneField="1">
      <fieldsUsage count="1">
        <fieldUsage x="1"/>
      </fieldsUsage>
    </cacheHierarchy>
    <cacheHierarchy uniqueName="[Measures].[Avg. Rating]" caption="Avg. Rating" measure="1" displayFolder="" measureGroup="calls" count="0" oneField="1">
      <fieldsUsage count="1">
        <fieldUsage x="0"/>
      </fieldsUsage>
    </cacheHierarchy>
    <cacheHierarchy uniqueName="[Measures].[5* Rating]" caption="5*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efreshedDate="46048.758829861108" backgroundQuery="1" createdVersion="8" refreshedVersion="8" minRefreshableVersion="3" recordCount="0" supportSubquery="1" supportAdvancedDrill="1" xr:uid="{5C304044-081C-4BC5-800A-5AD1305B78DC}">
  <cacheSource type="external" connectionId="1"/>
  <cacheFields count="3">
    <cacheField name="[calls].[Representative].[Representative]" caption="Representative" numFmtId="0" hierarchy="3" level="1">
      <sharedItems count="5">
        <s v="R01"/>
        <s v="R02"/>
        <s v="R03"/>
        <s v="R04"/>
        <s v="R05"/>
      </sharedItems>
    </cacheField>
    <cacheField name="[Measures].[Total Amount]" caption="Total Amount" numFmtId="0" hierarchy="18" level="32767"/>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efreshedDate="46048.770090625003" backgroundQuery="1" createdVersion="8" refreshedVersion="8" minRefreshableVersion="3" recordCount="0" supportSubquery="1" supportAdvancedDrill="1" xr:uid="{CA55856D-274A-42F8-B2D6-ACBB92C131C4}">
  <cacheSource type="external" connectionId="1"/>
  <cacheFields count="4">
    <cacheField name="[customers].[City].[City]" caption="City" numFmtId="0" hierarchy="15" level="1">
      <sharedItems count="3">
        <s v="Delhi"/>
        <s v="Jaipur"/>
        <s v="Mumbai"/>
      </sharedItems>
    </cacheField>
    <cacheField name="[customers].[Customer ID].[Customer ID]" caption="Customer ID" numFmtId="0" hierarchy="12" level="1">
      <sharedItems count="15">
        <s v="C0001"/>
        <s v="C0005"/>
        <s v="C0006"/>
        <s v="C0009"/>
        <s v="C0014"/>
        <s v="C0003"/>
        <s v="C0004"/>
        <s v="C0011"/>
        <s v="C0012"/>
        <s v="C0002"/>
        <s v="C0007"/>
        <s v="C0008"/>
        <s v="C0010"/>
        <s v="C0013"/>
        <s v="C0015"/>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efreshedDate="46066.785643981479" backgroundQuery="1" createdVersion="8" refreshedVersion="8" minRefreshableVersion="3" recordCount="0" supportSubquery="1" supportAdvancedDrill="1" xr:uid="{7D013E5C-5278-4126-8478-C4EC19BDA36A}">
  <cacheSource type="external" connectionId="1"/>
  <cacheFields count="6">
    <cacheField name="[Measures].[Avg. Rating]" caption="Avg. Rating" numFmtId="0" hierarchy="20" level="32767"/>
    <cacheField name="[Measures].[Total Duration]" caption="Total Duration" numFmtId="0" hierarchy="19" level="32767"/>
    <cacheField name="[Measures].[Call Count]" caption="Call Count" numFmtId="0" hierarchy="17" level="32767"/>
    <cacheField name="[Measures].[Total Amount]" caption="Total Amount" numFmtId="0" hierarchy="18" level="32767"/>
    <cacheField name="[Measures].[5* Rating]" caption="5* Rating"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oneField="1">
      <fieldsUsage count="1">
        <fieldUsage x="1"/>
      </fieldsUsage>
    </cacheHierarchy>
    <cacheHierarchy uniqueName="[Measures].[Avg. Rating]" caption="Avg. Rating" measure="1" displayFolder="" measureGroup="calls" count="0" oneField="1">
      <fieldsUsage count="1">
        <fieldUsage x="0"/>
      </fieldsUsage>
    </cacheHierarchy>
    <cacheHierarchy uniqueName="[Measures].[5* Rating]" caption="5*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efreshedDate="46066.785644560186" backgroundQuery="1" createdVersion="8" refreshedVersion="8" minRefreshableVersion="3" recordCount="0" supportSubquery="1" supportAdvancedDrill="1" xr:uid="{1C0D0505-C406-47BB-8F65-57C34FC1E1A3}">
  <cacheSource type="external" connectionId="1"/>
  <cacheFields count="5">
    <cacheField name="[calls].[Representative].[Representative]" caption="Representative" numFmtId="0" hierarchy="3" level="1">
      <sharedItems containsSemiMixedTypes="0" containsNonDate="0" containsString="0"/>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Date of Call].[Date of Call]" caption="Date of Call" numFmtId="0" hierarchy="4" level="1">
      <sharedItems containsSemiMixedTypes="0" containsNonDate="0" containsDate="1" containsString="0" minDate="2023-12-01T00:00:00" maxDate="2024-01-01T00:00:00" count="10">
        <d v="2023-12-01T00:00:00"/>
        <d v="2023-12-02T00:00:00"/>
        <d v="2023-12-03T00:00:00"/>
        <d v="2023-12-04T00:00:00"/>
        <d v="2023-12-16T00:00:00"/>
        <d v="2023-12-25T00:00:00"/>
        <d v="2023-12-27T00:00:00"/>
        <d v="2023-12-28T00:00:00"/>
        <d v="2023-12-30T00:00:00"/>
        <d v="2023-12-31T00:00:00"/>
      </sharedItems>
    </cacheField>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3"/>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efreshedDate="46066.785645023148" backgroundQuery="1" createdVersion="8" refreshedVersion="8" minRefreshableVersion="3" recordCount="0" supportSubquery="1" supportAdvancedDrill="1" xr:uid="{315904E4-A278-4F0E-9354-B263C09D179C}">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efreshedDate="46066.785645601849" backgroundQuery="1" createdVersion="8" refreshedVersion="8" minRefreshableVersion="3" recordCount="0" supportSubquery="1" supportAdvancedDrill="1" xr:uid="{4926AC2A-2B9A-4D71-97E3-D521058DF0C8}">
  <cacheSource type="external" connectionId="1"/>
  <cacheFields count="1">
    <cacheField name="[calls].[Representative].[Representative]" caption="Representative" numFmtId="0" hierarchy="3" level="1">
      <sharedItems count="1">
        <s v="R01"/>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efreshedDate="46066.785646180557" backgroundQuery="1" createdVersion="8" refreshedVersion="8" minRefreshableVersion="3" recordCount="0" supportSubquery="1" supportAdvancedDrill="1" xr:uid="{1C596C4F-A7F1-48CF-9113-5B3DDCE77E92}">
  <cacheSource type="external" connectionId="1"/>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 refreshedDate="46048.758820138886" backgroundQuery="1" createdVersion="3" refreshedVersion="8" minRefreshableVersion="3" recordCount="0" supportSubquery="1" supportAdvancedDrill="1" xr:uid="{EB2A2ECD-0B07-44F5-9E03-434C8F01BEC4}">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1060601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4F82E9-0379-48C4-8CEC-2CAE574A54BA}" name="monthly" cacheId="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19:C3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3"/>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079BC9-EF0F-4A81-BD86-154D831F2A08}" name="selectedpivot" cacheId="6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62:A63"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3">
    <format dxfId="29">
      <pivotArea dataOnly="0" fieldPosition="0">
        <references count="1">
          <reference field="0" count="0"/>
        </references>
      </pivotArea>
    </format>
    <format dxfId="28">
      <pivotArea dataOnly="0" labelOnly="1" fieldPosition="0">
        <references count="1">
          <reference field="0" count="0"/>
        </references>
      </pivotArea>
    </format>
    <format dxfId="27">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83953C-B7B9-47D5-81B8-93E43F8C8913}" name="PivotTable3"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00:G119"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r="1">
      <x v="4"/>
    </i>
    <i>
      <x v="1"/>
    </i>
    <i r="1">
      <x v="5"/>
    </i>
    <i r="1">
      <x v="6"/>
    </i>
    <i r="1">
      <x v="7"/>
    </i>
    <i r="1">
      <x v="8"/>
    </i>
    <i>
      <x v="2"/>
    </i>
    <i r="1">
      <x v="9"/>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7C0D31-3F0E-45BA-8078-44D1C89F01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5:D80"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s="1" x="0"/>
        <item s="1"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D700BA-B656-40C9-A9AF-06818EEB6807}" name="summary" cacheId="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E1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2" subtotal="count" baseField="0" baseItem="0"/>
    <dataField fld="3" subtotal="count" baseField="0" baseItem="0"/>
    <dataField fld="1" subtotal="count" baseField="0" baseItem="0"/>
    <dataField fld="0"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40FF79-A239-44E8-8821-B4FAAC9B3E19}" name="rating" cacheId="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85:B9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7FA04A-2F9F-4A97-8EB3-8D9E0EEFFD28}" name="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2" subtotal="count" baseField="0" baseItem="0"/>
    <dataField fld="3" subtotal="count" baseField="0" baseItem="0"/>
    <dataField fld="1" subtotal="count" baseField="0" baseItem="0"/>
    <dataField fld="0" subtotal="count" baseField="0" baseItem="0"/>
    <dataField name="5* Rating" fld="4" subtotal="count" baseField="0" baseItem="0"/>
  </dataField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5* Rating"/>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9DA17D-6DE1-425F-94E6-13E5EEBC85A1}" name="PivotTable6"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7:F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2" subtotal="count" baseField="0" baseItem="0"/>
    <dataField fld="3" subtotal="count" baseField="0" baseItem="0"/>
    <dataField fld="1" subtotal="count" baseField="0" baseItem="0"/>
    <dataField fld="0"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190994-5B6C-41E9-A59D-6D3572238D3A}" name="reppiivot"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8:C5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2" subtotal="count" baseField="0" baseItem="0"/>
    <dataField fld="1"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1FCBB5-A08F-45ED-8237-ED8FB6650658}" name="PivotTable7" cacheId="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B35:C43"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2945A49D-11E1-47EA-8E28-F2A2E3FD11F0}" sourceName="[calls].[Representative]">
  <pivotTables>
    <pivotTable tabId="6" name="summary"/>
    <pivotTable tabId="6" name="monthly"/>
    <pivotTable tabId="6" name="PivotTable7"/>
    <pivotTable tabId="6" name="selectedpivot"/>
    <pivotTable tabId="6" name="rating"/>
  </pivotTables>
  <data>
    <olap pivotCacheId="110606017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49B5550-1A83-4641-A252-20749844ABAE}"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9C40F613-3460-4D9B-AA01-E0A7757F520A}" cache="Slicer_Representative" caption="Representative" level="1" style="Slicer Style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6"/>
    <tableColumn id="5" xr3:uid="{5A35565E-8707-4DED-AD15-A0669D67B382}" name="Date of Call" dataDxfId="25"/>
    <tableColumn id="6" xr3:uid="{F2E4F158-B41F-47BC-8DF8-DFCADFEE4E40}" name="Purchase Amount" dataDxfId="24"/>
    <tableColumn id="7" xr3:uid="{04B291B5-47BD-4F78-8FD8-D1551CCA6BD9}" name="Satisfaction Rating"/>
    <tableColumn id="8" xr3:uid="{6E4123C0-0B17-43B8-A142-A1E540CE974C}" name="FY" dataDxfId="23">
      <calculatedColumnFormula>IF(MONTH(calls[[#This Row],[Date of Call]])&lt;=6, YEAR(calls[[#This Row],[Date of Call]]), YEAR(calls[[#This Row],[Date of Call]])+1)</calculatedColumnFormula>
    </tableColumn>
    <tableColumn id="9" xr3:uid="{199FA271-5E9B-46CE-9BC6-2801F92CD17E}" name="Day of week" dataDxfId="22">
      <calculatedColumnFormula>TEXT(calls[[#This Row],[Date of Call]],"DDDD")</calculatedColumnFormula>
    </tableColumn>
    <tableColumn id="10" xr3:uid="{328CDB09-95B8-4D5E-9ED9-EF0D363735A1}" name="Duration Bucket" dataDxfId="2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9" headerRowBorderDxfId="18" tableBorderDxfId="17" totalsRowBorderDxfId="16">
  <autoFilter ref="Q3:T18" xr:uid="{27158F51-A707-4171-8A04-81FB0AABCBA5}"/>
  <tableColumns count="4">
    <tableColumn id="1" xr3:uid="{02688061-6A8C-4E23-B7FF-D00CD8B58CAC}" name="Customer ID" dataDxfId="15"/>
    <tableColumn id="2" xr3:uid="{771678B6-DB44-426B-9874-B4E421A440D5}" name="Gender" dataDxfId="14"/>
    <tableColumn id="3" xr3:uid="{B0D41C62-587E-494D-B49A-603F2C05F8D3}" name="Age" dataDxfId="13"/>
    <tableColumn id="4" xr3:uid="{663F92D6-FE31-4D81-9E01-8D066DDC8A88}" name="City" dataDxfId="1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Custom 1">
      <a:majorFont>
        <a:latin typeface="HP Simplified Hans Light"/>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E109C-AE13-4354-AD43-8E709E4A2086}">
  <dimension ref="A3:N119"/>
  <sheetViews>
    <sheetView topLeftCell="B91" zoomScale="83" zoomScaleNormal="83" workbookViewId="0">
      <selection activeCell="K163" sqref="K163"/>
    </sheetView>
  </sheetViews>
  <sheetFormatPr defaultRowHeight="14.4" x14ac:dyDescent="0.3"/>
  <cols>
    <col min="1" max="1" width="12.59765625" bestFit="1" customWidth="1"/>
    <col min="2" max="3" width="9.59765625" bestFit="1" customWidth="1"/>
    <col min="4" max="4" width="9.8984375" bestFit="1" customWidth="1"/>
    <col min="5" max="5" width="8.296875" bestFit="1" customWidth="1"/>
    <col min="6" max="6" width="12.19921875" customWidth="1"/>
    <col min="7" max="7" width="12.59765625" bestFit="1" customWidth="1"/>
    <col min="8" max="8" width="9.59765625" bestFit="1" customWidth="1"/>
    <col min="9" max="9" width="13" bestFit="1" customWidth="1"/>
    <col min="10" max="10" width="10.69921875" customWidth="1"/>
    <col min="11" max="11" width="12.69921875" customWidth="1"/>
    <col min="12" max="12" width="4.09765625" bestFit="1" customWidth="1"/>
    <col min="13" max="13" width="4.19921875" bestFit="1" customWidth="1"/>
    <col min="14" max="14" width="10.3984375" bestFit="1" customWidth="1"/>
    <col min="15" max="15" width="15.19921875" bestFit="1" customWidth="1"/>
    <col min="16" max="16" width="9.59765625" bestFit="1" customWidth="1"/>
    <col min="17" max="17" width="11.796875" bestFit="1" customWidth="1"/>
    <col min="18" max="18" width="12.796875" bestFit="1" customWidth="1"/>
    <col min="19" max="19" width="9.8984375" bestFit="1" customWidth="1"/>
    <col min="20" max="20" width="8.296875" bestFit="1" customWidth="1"/>
    <col min="21" max="145" width="15.19921875" bestFit="1" customWidth="1"/>
    <col min="146" max="146" width="10.3984375" bestFit="1" customWidth="1"/>
  </cols>
  <sheetData>
    <row r="3" spans="1:6" x14ac:dyDescent="0.3">
      <c r="A3" t="s">
        <v>1039</v>
      </c>
      <c r="B3" t="s">
        <v>1040</v>
      </c>
      <c r="C3" t="s">
        <v>1041</v>
      </c>
      <c r="D3" t="s">
        <v>1042</v>
      </c>
      <c r="E3" t="s">
        <v>1043</v>
      </c>
    </row>
    <row r="4" spans="1:6" x14ac:dyDescent="0.3">
      <c r="A4" s="21">
        <v>1000</v>
      </c>
      <c r="B4" s="29">
        <v>96623</v>
      </c>
      <c r="C4" s="21">
        <v>89850</v>
      </c>
      <c r="D4" s="25">
        <v>3.8854000000000033</v>
      </c>
      <c r="E4" s="24">
        <v>307</v>
      </c>
    </row>
    <row r="7" spans="1:6" x14ac:dyDescent="0.3">
      <c r="B7" t="s">
        <v>1039</v>
      </c>
      <c r="C7" t="s">
        <v>1040</v>
      </c>
      <c r="D7" t="s">
        <v>1041</v>
      </c>
      <c r="E7" t="s">
        <v>1042</v>
      </c>
      <c r="F7" t="s">
        <v>1043</v>
      </c>
    </row>
    <row r="8" spans="1:6" x14ac:dyDescent="0.3">
      <c r="B8" s="21">
        <v>1000</v>
      </c>
      <c r="C8" s="29">
        <v>96623</v>
      </c>
      <c r="D8" s="21">
        <v>89850</v>
      </c>
      <c r="E8" s="25">
        <v>3.8854000000000033</v>
      </c>
      <c r="F8" s="24">
        <v>307</v>
      </c>
    </row>
    <row r="13" spans="1:6" x14ac:dyDescent="0.3">
      <c r="A13" t="s">
        <v>1039</v>
      </c>
      <c r="B13" t="s">
        <v>1040</v>
      </c>
      <c r="C13" t="s">
        <v>1041</v>
      </c>
      <c r="D13" t="s">
        <v>1042</v>
      </c>
      <c r="E13" t="s">
        <v>1043</v>
      </c>
    </row>
    <row r="14" spans="1:6" x14ac:dyDescent="0.3">
      <c r="A14" s="21">
        <v>189</v>
      </c>
      <c r="B14" s="37">
        <v>18415</v>
      </c>
      <c r="C14" s="21">
        <v>16834</v>
      </c>
      <c r="D14" s="25">
        <v>3.9227513227513247</v>
      </c>
      <c r="E14" s="24">
        <v>60</v>
      </c>
    </row>
    <row r="19" spans="1:3" x14ac:dyDescent="0.3">
      <c r="A19" s="26" t="s">
        <v>1057</v>
      </c>
      <c r="B19" t="s">
        <v>1039</v>
      </c>
      <c r="C19" t="s">
        <v>1058</v>
      </c>
    </row>
    <row r="20" spans="1:3" x14ac:dyDescent="0.3">
      <c r="A20" s="27" t="s">
        <v>1045</v>
      </c>
      <c r="B20" s="21">
        <v>16</v>
      </c>
      <c r="C20" s="21">
        <v>16</v>
      </c>
    </row>
    <row r="21" spans="1:3" x14ac:dyDescent="0.3">
      <c r="A21" s="27" t="s">
        <v>1046</v>
      </c>
      <c r="B21" s="21">
        <v>14</v>
      </c>
      <c r="C21" s="21">
        <v>14</v>
      </c>
    </row>
    <row r="22" spans="1:3" x14ac:dyDescent="0.3">
      <c r="A22" s="27" t="s">
        <v>1047</v>
      </c>
      <c r="B22" s="21">
        <v>26</v>
      </c>
      <c r="C22" s="21">
        <v>26</v>
      </c>
    </row>
    <row r="23" spans="1:3" x14ac:dyDescent="0.3">
      <c r="A23" s="27" t="s">
        <v>1048</v>
      </c>
      <c r="B23" s="21">
        <v>29</v>
      </c>
      <c r="C23" s="21">
        <v>29</v>
      </c>
    </row>
    <row r="24" spans="1:3" x14ac:dyDescent="0.3">
      <c r="A24" s="27" t="s">
        <v>1049</v>
      </c>
      <c r="B24" s="21">
        <v>17</v>
      </c>
      <c r="C24" s="21">
        <v>17</v>
      </c>
    </row>
    <row r="25" spans="1:3" x14ac:dyDescent="0.3">
      <c r="A25" s="27" t="s">
        <v>1050</v>
      </c>
      <c r="B25" s="21">
        <v>15</v>
      </c>
      <c r="C25" s="21">
        <v>15</v>
      </c>
    </row>
    <row r="26" spans="1:3" x14ac:dyDescent="0.3">
      <c r="A26" s="27" t="s">
        <v>1051</v>
      </c>
      <c r="B26" s="21">
        <v>15</v>
      </c>
      <c r="C26" s="21">
        <v>15</v>
      </c>
    </row>
    <row r="27" spans="1:3" x14ac:dyDescent="0.3">
      <c r="A27" s="27" t="s">
        <v>1052</v>
      </c>
      <c r="B27" s="21">
        <v>7</v>
      </c>
      <c r="C27" s="21">
        <v>7</v>
      </c>
    </row>
    <row r="28" spans="1:3" x14ac:dyDescent="0.3">
      <c r="A28" s="27" t="s">
        <v>1053</v>
      </c>
      <c r="B28" s="21">
        <v>11</v>
      </c>
      <c r="C28" s="21">
        <v>11</v>
      </c>
    </row>
    <row r="29" spans="1:3" x14ac:dyDescent="0.3">
      <c r="A29" s="27" t="s">
        <v>1054</v>
      </c>
      <c r="B29" s="21">
        <v>24</v>
      </c>
      <c r="C29" s="21">
        <v>24</v>
      </c>
    </row>
    <row r="30" spans="1:3" x14ac:dyDescent="0.3">
      <c r="A30" s="27" t="s">
        <v>1055</v>
      </c>
      <c r="B30" s="21">
        <v>9</v>
      </c>
      <c r="C30" s="21">
        <v>9</v>
      </c>
    </row>
    <row r="31" spans="1:3" x14ac:dyDescent="0.3">
      <c r="A31" s="27" t="s">
        <v>1056</v>
      </c>
      <c r="B31" s="21">
        <v>6</v>
      </c>
      <c r="C31" s="21">
        <v>6</v>
      </c>
    </row>
    <row r="32" spans="1:3" x14ac:dyDescent="0.3">
      <c r="A32" s="27" t="s">
        <v>1044</v>
      </c>
      <c r="B32" s="21">
        <v>189</v>
      </c>
      <c r="C32" s="21">
        <v>189</v>
      </c>
    </row>
    <row r="35" spans="1:14" x14ac:dyDescent="0.3">
      <c r="B35" s="26" t="s">
        <v>1057</v>
      </c>
      <c r="C35" t="s">
        <v>1039</v>
      </c>
    </row>
    <row r="36" spans="1:14" x14ac:dyDescent="0.3">
      <c r="B36" s="27" t="s">
        <v>1062</v>
      </c>
      <c r="C36" s="21">
        <v>36</v>
      </c>
    </row>
    <row r="37" spans="1:14" x14ac:dyDescent="0.3">
      <c r="B37" s="27" t="s">
        <v>1060</v>
      </c>
      <c r="C37" s="21">
        <v>30</v>
      </c>
    </row>
    <row r="38" spans="1:14" x14ac:dyDescent="0.3">
      <c r="B38" s="27" t="s">
        <v>1064</v>
      </c>
      <c r="C38" s="21">
        <v>13</v>
      </c>
    </row>
    <row r="39" spans="1:14" x14ac:dyDescent="0.3">
      <c r="B39" s="27" t="s">
        <v>1065</v>
      </c>
      <c r="C39" s="21">
        <v>23</v>
      </c>
    </row>
    <row r="40" spans="1:14" x14ac:dyDescent="0.3">
      <c r="B40" s="27" t="s">
        <v>1063</v>
      </c>
      <c r="C40" s="21">
        <v>23</v>
      </c>
    </row>
    <row r="41" spans="1:14" x14ac:dyDescent="0.3">
      <c r="B41" s="27" t="s">
        <v>1059</v>
      </c>
      <c r="C41" s="21">
        <v>24</v>
      </c>
    </row>
    <row r="42" spans="1:14" x14ac:dyDescent="0.3">
      <c r="B42" s="27" t="s">
        <v>1061</v>
      </c>
      <c r="C42" s="21">
        <v>40</v>
      </c>
    </row>
    <row r="43" spans="1:14" x14ac:dyDescent="0.3">
      <c r="B43" s="27" t="s">
        <v>1044</v>
      </c>
      <c r="C43" s="21">
        <v>189</v>
      </c>
    </row>
    <row r="47" spans="1:14" x14ac:dyDescent="0.3">
      <c r="N47" t="str">
        <f>A63</f>
        <v>R01</v>
      </c>
    </row>
    <row r="48" spans="1:14" x14ac:dyDescent="0.3">
      <c r="A48" s="26" t="s">
        <v>1057</v>
      </c>
      <c r="B48" t="s">
        <v>1039</v>
      </c>
      <c r="C48" t="s">
        <v>1040</v>
      </c>
    </row>
    <row r="49" spans="1:6" x14ac:dyDescent="0.3">
      <c r="A49" s="27" t="s">
        <v>11</v>
      </c>
      <c r="B49" s="21">
        <v>189</v>
      </c>
      <c r="C49" s="29">
        <v>18415</v>
      </c>
    </row>
    <row r="50" spans="1:6" x14ac:dyDescent="0.3">
      <c r="A50" s="27" t="s">
        <v>9</v>
      </c>
      <c r="B50" s="21">
        <v>218</v>
      </c>
      <c r="C50" s="29">
        <v>20581</v>
      </c>
    </row>
    <row r="51" spans="1:6" x14ac:dyDescent="0.3">
      <c r="A51" s="27" t="s">
        <v>6</v>
      </c>
      <c r="B51" s="21">
        <v>207</v>
      </c>
      <c r="C51" s="29">
        <v>20872</v>
      </c>
    </row>
    <row r="52" spans="1:6" x14ac:dyDescent="0.3">
      <c r="A52" s="27" t="s">
        <v>13</v>
      </c>
      <c r="B52" s="21">
        <v>186</v>
      </c>
      <c r="C52" s="29">
        <v>16651</v>
      </c>
    </row>
    <row r="53" spans="1:6" x14ac:dyDescent="0.3">
      <c r="A53" s="27" t="s">
        <v>10</v>
      </c>
      <c r="B53" s="21">
        <v>200</v>
      </c>
      <c r="C53" s="29">
        <v>20104</v>
      </c>
    </row>
    <row r="54" spans="1:6" x14ac:dyDescent="0.3">
      <c r="A54" s="27" t="s">
        <v>1044</v>
      </c>
      <c r="B54" s="21">
        <v>1000</v>
      </c>
      <c r="C54" s="29">
        <v>96623</v>
      </c>
    </row>
    <row r="57" spans="1:6" x14ac:dyDescent="0.3">
      <c r="B57" t="s">
        <v>1066</v>
      </c>
      <c r="F57" t="s">
        <v>1070</v>
      </c>
    </row>
    <row r="58" spans="1:6" x14ac:dyDescent="0.3">
      <c r="B58" t="s">
        <v>1067</v>
      </c>
      <c r="C58" t="s">
        <v>1068</v>
      </c>
      <c r="D58" t="s">
        <v>1069</v>
      </c>
      <c r="E58" t="s">
        <v>1072</v>
      </c>
      <c r="F58" t="s">
        <v>1071</v>
      </c>
    </row>
    <row r="59" spans="1:6" x14ac:dyDescent="0.3">
      <c r="B59" t="str" cm="1">
        <f t="array" ref="B59:D63">A49:C53</f>
        <v>R01</v>
      </c>
      <c r="C59">
        <v>189</v>
      </c>
      <c r="D59">
        <v>18415</v>
      </c>
      <c r="E59">
        <f>IF(B59=$N$47,C59,NA())</f>
        <v>189</v>
      </c>
      <c r="F59">
        <f>IF(B59=$N$47,D59,NA())</f>
        <v>18415</v>
      </c>
    </row>
    <row r="60" spans="1:6" x14ac:dyDescent="0.3">
      <c r="B60" t="str">
        <v>R02</v>
      </c>
      <c r="C60">
        <v>218</v>
      </c>
      <c r="D60">
        <v>20581</v>
      </c>
      <c r="E60" t="e">
        <f>IF(B60=$N$47,C60,NA())</f>
        <v>#N/A</v>
      </c>
      <c r="F60" t="e">
        <f>IF(B60=$N$47,D60,NA())</f>
        <v>#N/A</v>
      </c>
    </row>
    <row r="61" spans="1:6" x14ac:dyDescent="0.3">
      <c r="B61" t="str">
        <v>R03</v>
      </c>
      <c r="C61">
        <v>207</v>
      </c>
      <c r="D61">
        <v>20872</v>
      </c>
      <c r="E61" t="e">
        <f>IF(B61=$N$47,C61,NA())</f>
        <v>#N/A</v>
      </c>
      <c r="F61" t="e">
        <f>IF(B61=$N$47,D61,NA())</f>
        <v>#N/A</v>
      </c>
    </row>
    <row r="62" spans="1:6" x14ac:dyDescent="0.3">
      <c r="A62" s="26" t="s">
        <v>1057</v>
      </c>
      <c r="B62" t="str">
        <v>R04</v>
      </c>
      <c r="C62">
        <v>186</v>
      </c>
      <c r="D62">
        <v>16651</v>
      </c>
      <c r="E62" t="e">
        <f>IF(B62=$N$47,C62,NA())</f>
        <v>#N/A</v>
      </c>
      <c r="F62" t="e">
        <f>IF(B62=$N$47,D62,NA())</f>
        <v>#N/A</v>
      </c>
    </row>
    <row r="63" spans="1:6" x14ac:dyDescent="0.3">
      <c r="A63" s="28" t="s">
        <v>11</v>
      </c>
      <c r="B63" t="str">
        <v>R05</v>
      </c>
      <c r="C63">
        <v>200</v>
      </c>
      <c r="D63">
        <v>20104</v>
      </c>
      <c r="E63" t="e">
        <f>IF(B63=$N$47,C63,NA())</f>
        <v>#N/A</v>
      </c>
      <c r="F63" t="e">
        <f>IF(B63=$N$47,D63,NA())</f>
        <v>#N/A</v>
      </c>
    </row>
    <row r="75" spans="1:4" x14ac:dyDescent="0.3">
      <c r="A75" s="26" t="s">
        <v>1039</v>
      </c>
      <c r="B75" s="26" t="s">
        <v>1074</v>
      </c>
    </row>
    <row r="76" spans="1:4" x14ac:dyDescent="0.3">
      <c r="A76" s="26" t="s">
        <v>1057</v>
      </c>
      <c r="B76" t="s">
        <v>998</v>
      </c>
      <c r="C76" t="s">
        <v>997</v>
      </c>
      <c r="D76" t="s">
        <v>1044</v>
      </c>
    </row>
    <row r="77" spans="1:4" x14ac:dyDescent="0.3">
      <c r="A77" s="27" t="s">
        <v>1036</v>
      </c>
      <c r="B77" s="21">
        <v>129</v>
      </c>
      <c r="C77" s="21">
        <v>206</v>
      </c>
      <c r="D77" s="21">
        <v>335</v>
      </c>
    </row>
    <row r="78" spans="1:4" x14ac:dyDescent="0.3">
      <c r="A78" s="27" t="s">
        <v>1038</v>
      </c>
      <c r="B78" s="21">
        <v>70</v>
      </c>
      <c r="C78" s="21">
        <v>206</v>
      </c>
      <c r="D78" s="21">
        <v>276</v>
      </c>
    </row>
    <row r="79" spans="1:4" x14ac:dyDescent="0.3">
      <c r="A79" s="27" t="s">
        <v>1037</v>
      </c>
      <c r="B79" s="21">
        <v>326</v>
      </c>
      <c r="C79" s="21">
        <v>63</v>
      </c>
      <c r="D79" s="21">
        <v>389</v>
      </c>
    </row>
    <row r="80" spans="1:4" x14ac:dyDescent="0.3">
      <c r="A80" s="27" t="s">
        <v>1044</v>
      </c>
      <c r="B80" s="21">
        <v>525</v>
      </c>
      <c r="C80" s="21">
        <v>475</v>
      </c>
      <c r="D80" s="21">
        <v>1000</v>
      </c>
    </row>
    <row r="85" spans="1:2" x14ac:dyDescent="0.3">
      <c r="A85" s="26" t="s">
        <v>1057</v>
      </c>
      <c r="B85" t="s">
        <v>1039</v>
      </c>
    </row>
    <row r="86" spans="1:2" x14ac:dyDescent="0.3">
      <c r="A86" s="27">
        <v>1</v>
      </c>
      <c r="B86" s="21">
        <v>1</v>
      </c>
    </row>
    <row r="87" spans="1:2" x14ac:dyDescent="0.3">
      <c r="A87" s="27">
        <v>2</v>
      </c>
      <c r="B87" s="21">
        <v>9</v>
      </c>
    </row>
    <row r="88" spans="1:2" x14ac:dyDescent="0.3">
      <c r="A88" s="27">
        <v>3</v>
      </c>
      <c r="B88" s="21">
        <v>31</v>
      </c>
    </row>
    <row r="89" spans="1:2" x14ac:dyDescent="0.3">
      <c r="A89" s="27">
        <v>4</v>
      </c>
      <c r="B89" s="21">
        <v>88</v>
      </c>
    </row>
    <row r="90" spans="1:2" x14ac:dyDescent="0.3">
      <c r="A90" s="27">
        <v>5</v>
      </c>
      <c r="B90" s="21">
        <v>60</v>
      </c>
    </row>
    <row r="91" spans="1:2" x14ac:dyDescent="0.3">
      <c r="A91" s="27" t="s">
        <v>1044</v>
      </c>
      <c r="B91" s="21">
        <v>189</v>
      </c>
    </row>
    <row r="100" spans="1:7" x14ac:dyDescent="0.3">
      <c r="A100" s="26" t="s">
        <v>1040</v>
      </c>
      <c r="B100" s="26" t="s">
        <v>1074</v>
      </c>
    </row>
    <row r="101" spans="1:7" x14ac:dyDescent="0.3">
      <c r="A101" s="26" t="s">
        <v>1057</v>
      </c>
      <c r="B101" t="s">
        <v>11</v>
      </c>
      <c r="C101" t="s">
        <v>9</v>
      </c>
      <c r="D101" t="s">
        <v>6</v>
      </c>
      <c r="E101" t="s">
        <v>13</v>
      </c>
      <c r="F101" t="s">
        <v>10</v>
      </c>
      <c r="G101" t="s">
        <v>1044</v>
      </c>
    </row>
    <row r="102" spans="1:7" x14ac:dyDescent="0.3">
      <c r="A102" s="27" t="s">
        <v>1036</v>
      </c>
    </row>
    <row r="103" spans="1:7" x14ac:dyDescent="0.3">
      <c r="A103" s="30" t="s">
        <v>17</v>
      </c>
      <c r="B103" s="29">
        <v>1655</v>
      </c>
      <c r="C103" s="29">
        <v>805</v>
      </c>
      <c r="D103" s="29">
        <v>2263</v>
      </c>
      <c r="E103" s="29">
        <v>987</v>
      </c>
      <c r="F103" s="29">
        <v>1075</v>
      </c>
      <c r="G103" s="29">
        <v>6785</v>
      </c>
    </row>
    <row r="104" spans="1:7" x14ac:dyDescent="0.3">
      <c r="A104" s="30" t="s">
        <v>23</v>
      </c>
      <c r="B104" s="29">
        <v>1104</v>
      </c>
      <c r="C104" s="29">
        <v>2280</v>
      </c>
      <c r="D104" s="29">
        <v>1445</v>
      </c>
      <c r="E104" s="29">
        <v>1722</v>
      </c>
      <c r="F104" s="29">
        <v>1196</v>
      </c>
      <c r="G104" s="29">
        <v>7747</v>
      </c>
    </row>
    <row r="105" spans="1:7" x14ac:dyDescent="0.3">
      <c r="A105" s="30" t="s">
        <v>7</v>
      </c>
      <c r="B105" s="29">
        <v>372</v>
      </c>
      <c r="C105" s="29">
        <v>1818</v>
      </c>
      <c r="D105" s="29">
        <v>1346</v>
      </c>
      <c r="E105" s="29">
        <v>1156</v>
      </c>
      <c r="F105" s="29">
        <v>1484</v>
      </c>
      <c r="G105" s="29">
        <v>6176</v>
      </c>
    </row>
    <row r="106" spans="1:7" x14ac:dyDescent="0.3">
      <c r="A106" s="30" t="s">
        <v>22</v>
      </c>
      <c r="B106" s="29">
        <v>1415</v>
      </c>
      <c r="C106" s="29">
        <v>1271</v>
      </c>
      <c r="D106" s="29">
        <v>1214</v>
      </c>
      <c r="E106" s="29">
        <v>1135</v>
      </c>
      <c r="F106" s="29">
        <v>1566</v>
      </c>
      <c r="G106" s="29">
        <v>6601</v>
      </c>
    </row>
    <row r="107" spans="1:7" x14ac:dyDescent="0.3">
      <c r="A107" s="30" t="s">
        <v>21</v>
      </c>
      <c r="B107" s="29">
        <v>1362</v>
      </c>
      <c r="C107" s="29">
        <v>1363</v>
      </c>
      <c r="D107" s="29">
        <v>1152</v>
      </c>
      <c r="E107" s="29">
        <v>777</v>
      </c>
      <c r="F107" s="29">
        <v>750</v>
      </c>
      <c r="G107" s="29">
        <v>5404</v>
      </c>
    </row>
    <row r="108" spans="1:7" x14ac:dyDescent="0.3">
      <c r="A108" s="27" t="s">
        <v>1038</v>
      </c>
    </row>
    <row r="109" spans="1:7" x14ac:dyDescent="0.3">
      <c r="A109" s="30" t="s">
        <v>20</v>
      </c>
      <c r="B109" s="29">
        <v>891</v>
      </c>
      <c r="C109" s="29">
        <v>1332</v>
      </c>
      <c r="D109" s="29">
        <v>1282</v>
      </c>
      <c r="E109" s="29">
        <v>739</v>
      </c>
      <c r="F109" s="29">
        <v>560</v>
      </c>
      <c r="G109" s="29">
        <v>4804</v>
      </c>
    </row>
    <row r="110" spans="1:7" x14ac:dyDescent="0.3">
      <c r="A110" s="30" t="s">
        <v>12</v>
      </c>
      <c r="B110" s="29">
        <v>1991</v>
      </c>
      <c r="C110" s="29">
        <v>1886</v>
      </c>
      <c r="D110" s="29">
        <v>1206</v>
      </c>
      <c r="E110" s="29">
        <v>884</v>
      </c>
      <c r="F110" s="29">
        <v>1722</v>
      </c>
      <c r="G110" s="29">
        <v>7689</v>
      </c>
    </row>
    <row r="111" spans="1:7" x14ac:dyDescent="0.3">
      <c r="A111" s="30" t="s">
        <v>8</v>
      </c>
      <c r="B111" s="29">
        <v>1163</v>
      </c>
      <c r="C111" s="29">
        <v>1180</v>
      </c>
      <c r="D111" s="29">
        <v>1616</v>
      </c>
      <c r="E111" s="29">
        <v>1043</v>
      </c>
      <c r="F111" s="29">
        <v>1747</v>
      </c>
      <c r="G111" s="29">
        <v>6749</v>
      </c>
    </row>
    <row r="112" spans="1:7" x14ac:dyDescent="0.3">
      <c r="A112" s="30" t="s">
        <v>16</v>
      </c>
      <c r="B112" s="29">
        <v>1438</v>
      </c>
      <c r="C112" s="29">
        <v>1616</v>
      </c>
      <c r="D112" s="29">
        <v>866</v>
      </c>
      <c r="E112" s="29">
        <v>829</v>
      </c>
      <c r="F112" s="29">
        <v>2070</v>
      </c>
      <c r="G112" s="29">
        <v>6819</v>
      </c>
    </row>
    <row r="113" spans="1:7" x14ac:dyDescent="0.3">
      <c r="A113" s="27" t="s">
        <v>1037</v>
      </c>
    </row>
    <row r="114" spans="1:7" x14ac:dyDescent="0.3">
      <c r="A114" s="30" t="s">
        <v>24</v>
      </c>
      <c r="B114" s="29">
        <v>1233</v>
      </c>
      <c r="C114" s="29">
        <v>223</v>
      </c>
      <c r="D114" s="29">
        <v>1680</v>
      </c>
      <c r="E114" s="29">
        <v>990</v>
      </c>
      <c r="F114" s="29">
        <v>1508</v>
      </c>
      <c r="G114" s="29">
        <v>5634</v>
      </c>
    </row>
    <row r="115" spans="1:7" x14ac:dyDescent="0.3">
      <c r="A115" s="30" t="s">
        <v>15</v>
      </c>
      <c r="B115" s="29">
        <v>1598</v>
      </c>
      <c r="C115" s="29">
        <v>1907</v>
      </c>
      <c r="D115" s="29">
        <v>869</v>
      </c>
      <c r="E115" s="29">
        <v>1426</v>
      </c>
      <c r="F115" s="29">
        <v>1416</v>
      </c>
      <c r="G115" s="29">
        <v>7216</v>
      </c>
    </row>
    <row r="116" spans="1:7" x14ac:dyDescent="0.3">
      <c r="A116" s="30" t="s">
        <v>5</v>
      </c>
      <c r="B116" s="29">
        <v>900</v>
      </c>
      <c r="C116" s="29">
        <v>1016</v>
      </c>
      <c r="D116" s="29">
        <v>960</v>
      </c>
      <c r="E116" s="29">
        <v>940</v>
      </c>
      <c r="F116" s="29">
        <v>1193</v>
      </c>
      <c r="G116" s="29">
        <v>5009</v>
      </c>
    </row>
    <row r="117" spans="1:7" x14ac:dyDescent="0.3">
      <c r="A117" s="30" t="s">
        <v>18</v>
      </c>
      <c r="B117" s="29">
        <v>900</v>
      </c>
      <c r="C117" s="29">
        <v>1470</v>
      </c>
      <c r="D117" s="29">
        <v>1617</v>
      </c>
      <c r="E117" s="29">
        <v>1314</v>
      </c>
      <c r="F117" s="29">
        <v>941</v>
      </c>
      <c r="G117" s="29">
        <v>6242</v>
      </c>
    </row>
    <row r="118" spans="1:7" x14ac:dyDescent="0.3">
      <c r="A118" s="30" t="s">
        <v>14</v>
      </c>
      <c r="B118" s="29">
        <v>1255</v>
      </c>
      <c r="C118" s="29">
        <v>516</v>
      </c>
      <c r="D118" s="29">
        <v>1874</v>
      </c>
      <c r="E118" s="29">
        <v>1863</v>
      </c>
      <c r="F118" s="29">
        <v>1722</v>
      </c>
      <c r="G118" s="29">
        <v>7230</v>
      </c>
    </row>
    <row r="119" spans="1:7" x14ac:dyDescent="0.3">
      <c r="A119" s="30" t="s">
        <v>19</v>
      </c>
      <c r="B119" s="29">
        <v>1138</v>
      </c>
      <c r="C119" s="29">
        <v>1898</v>
      </c>
      <c r="D119" s="29">
        <v>1482</v>
      </c>
      <c r="E119" s="29">
        <v>846</v>
      </c>
      <c r="F119" s="29">
        <v>1154</v>
      </c>
      <c r="G119" s="29">
        <v>6518</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61" zoomScaleNormal="102" workbookViewId="0">
      <selection activeCell="L4" sqref="L4"/>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9" bestFit="1"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999</v>
      </c>
    </row>
    <row r="2" spans="2:20" x14ac:dyDescent="0.3">
      <c r="R2" s="1"/>
    </row>
    <row r="3" spans="2:20" x14ac:dyDescent="0.3">
      <c r="B3" s="14" t="s">
        <v>25</v>
      </c>
      <c r="C3" s="14" t="s">
        <v>0</v>
      </c>
      <c r="D3" s="15" t="s">
        <v>1</v>
      </c>
      <c r="E3" s="16" t="s">
        <v>3</v>
      </c>
      <c r="F3" s="16" t="s">
        <v>4</v>
      </c>
      <c r="G3" s="22" t="s">
        <v>2</v>
      </c>
      <c r="H3" s="14" t="s">
        <v>994</v>
      </c>
      <c r="I3" t="s">
        <v>1032</v>
      </c>
      <c r="J3" t="s">
        <v>1033</v>
      </c>
      <c r="K3" t="s">
        <v>1034</v>
      </c>
      <c r="L3" t="s">
        <v>1035</v>
      </c>
      <c r="Q3" s="8" t="s">
        <v>0</v>
      </c>
      <c r="R3" s="9" t="s">
        <v>1073</v>
      </c>
      <c r="S3" s="9" t="s">
        <v>995</v>
      </c>
      <c r="T3" s="10" t="s">
        <v>996</v>
      </c>
    </row>
    <row r="4" spans="2:20" x14ac:dyDescent="0.3">
      <c r="B4" t="s">
        <v>26</v>
      </c>
      <c r="C4" t="s">
        <v>20</v>
      </c>
      <c r="D4">
        <v>116</v>
      </c>
      <c r="E4" s="17" t="s">
        <v>10</v>
      </c>
      <c r="F4" s="18">
        <v>44927</v>
      </c>
      <c r="G4" s="23">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997</v>
      </c>
      <c r="S4" s="2">
        <v>41</v>
      </c>
      <c r="T4" s="7" t="s">
        <v>1036</v>
      </c>
    </row>
    <row r="5" spans="2:20" x14ac:dyDescent="0.3">
      <c r="B5" t="s">
        <v>27</v>
      </c>
      <c r="C5" t="s">
        <v>12</v>
      </c>
      <c r="D5">
        <v>119</v>
      </c>
      <c r="E5" s="17" t="s">
        <v>10</v>
      </c>
      <c r="F5" s="18">
        <v>44927</v>
      </c>
      <c r="G5" s="23">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997</v>
      </c>
      <c r="S5" s="2">
        <v>31</v>
      </c>
      <c r="T5" s="7" t="s">
        <v>1037</v>
      </c>
    </row>
    <row r="6" spans="2:20" x14ac:dyDescent="0.3">
      <c r="B6" t="s">
        <v>28</v>
      </c>
      <c r="C6" t="s">
        <v>23</v>
      </c>
      <c r="D6">
        <v>68</v>
      </c>
      <c r="E6" s="17" t="s">
        <v>9</v>
      </c>
      <c r="F6" s="18">
        <v>44927</v>
      </c>
      <c r="G6" s="23">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997</v>
      </c>
      <c r="S6" s="2">
        <v>26</v>
      </c>
      <c r="T6" s="7" t="s">
        <v>1038</v>
      </c>
    </row>
    <row r="7" spans="2:20" x14ac:dyDescent="0.3">
      <c r="B7" t="s">
        <v>29</v>
      </c>
      <c r="C7" t="s">
        <v>21</v>
      </c>
      <c r="D7">
        <v>119</v>
      </c>
      <c r="E7" s="17" t="s">
        <v>9</v>
      </c>
      <c r="F7" s="18">
        <v>44927</v>
      </c>
      <c r="G7" s="23">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997</v>
      </c>
      <c r="S7" s="2">
        <v>36</v>
      </c>
      <c r="T7" s="7" t="s">
        <v>1038</v>
      </c>
    </row>
    <row r="8" spans="2:20" x14ac:dyDescent="0.3">
      <c r="B8" t="s">
        <v>30</v>
      </c>
      <c r="C8" t="s">
        <v>8</v>
      </c>
      <c r="D8">
        <v>128</v>
      </c>
      <c r="E8" s="17" t="s">
        <v>11</v>
      </c>
      <c r="F8" s="18">
        <v>44928</v>
      </c>
      <c r="G8" s="23">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997</v>
      </c>
      <c r="S8" s="2">
        <v>37</v>
      </c>
      <c r="T8" s="7" t="s">
        <v>1036</v>
      </c>
    </row>
    <row r="9" spans="2:20" x14ac:dyDescent="0.3">
      <c r="B9" t="s">
        <v>31</v>
      </c>
      <c r="C9" t="s">
        <v>8</v>
      </c>
      <c r="D9">
        <v>49</v>
      </c>
      <c r="E9" s="17" t="s">
        <v>9</v>
      </c>
      <c r="F9" s="18">
        <v>44929</v>
      </c>
      <c r="G9" s="23">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997</v>
      </c>
      <c r="S9" s="2">
        <v>23</v>
      </c>
      <c r="T9" s="7" t="s">
        <v>1036</v>
      </c>
    </row>
    <row r="10" spans="2:20" x14ac:dyDescent="0.3">
      <c r="B10" t="s">
        <v>32</v>
      </c>
      <c r="C10" t="s">
        <v>15</v>
      </c>
      <c r="D10">
        <v>84</v>
      </c>
      <c r="E10" s="17" t="s">
        <v>10</v>
      </c>
      <c r="F10" s="18">
        <v>44929</v>
      </c>
      <c r="G10" s="23">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998</v>
      </c>
      <c r="S10" s="2">
        <v>22</v>
      </c>
      <c r="T10" s="7" t="s">
        <v>1037</v>
      </c>
    </row>
    <row r="11" spans="2:20" x14ac:dyDescent="0.3">
      <c r="B11" t="s">
        <v>33</v>
      </c>
      <c r="C11" t="s">
        <v>20</v>
      </c>
      <c r="D11">
        <v>103</v>
      </c>
      <c r="E11" s="17" t="s">
        <v>13</v>
      </c>
      <c r="F11" s="18">
        <v>44929</v>
      </c>
      <c r="G11" s="23">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998</v>
      </c>
      <c r="S11" s="2">
        <v>42</v>
      </c>
      <c r="T11" s="7" t="s">
        <v>1037</v>
      </c>
    </row>
    <row r="12" spans="2:20" x14ac:dyDescent="0.3">
      <c r="B12" t="s">
        <v>34</v>
      </c>
      <c r="C12" t="s">
        <v>23</v>
      </c>
      <c r="D12">
        <v>31</v>
      </c>
      <c r="E12" s="17" t="s">
        <v>9</v>
      </c>
      <c r="F12" s="18">
        <v>44929</v>
      </c>
      <c r="G12" s="23">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998</v>
      </c>
      <c r="S12" s="2">
        <v>25</v>
      </c>
      <c r="T12" s="7" t="s">
        <v>1036</v>
      </c>
    </row>
    <row r="13" spans="2:20" x14ac:dyDescent="0.3">
      <c r="B13" t="s">
        <v>35</v>
      </c>
      <c r="C13" t="s">
        <v>18</v>
      </c>
      <c r="D13">
        <v>44</v>
      </c>
      <c r="E13" s="17" t="s">
        <v>6</v>
      </c>
      <c r="F13" s="18">
        <v>44929</v>
      </c>
      <c r="G13" s="2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998</v>
      </c>
      <c r="S13" s="2">
        <v>30</v>
      </c>
      <c r="T13" s="7" t="s">
        <v>1037</v>
      </c>
    </row>
    <row r="14" spans="2:20" x14ac:dyDescent="0.3">
      <c r="B14" t="s">
        <v>36</v>
      </c>
      <c r="C14" t="s">
        <v>8</v>
      </c>
      <c r="D14">
        <v>102</v>
      </c>
      <c r="E14" s="17" t="s">
        <v>9</v>
      </c>
      <c r="F14" s="18">
        <v>44929</v>
      </c>
      <c r="G14" s="23">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6" t="s">
        <v>997</v>
      </c>
      <c r="S14" s="2">
        <v>30</v>
      </c>
      <c r="T14" s="7" t="s">
        <v>1038</v>
      </c>
    </row>
    <row r="15" spans="2:20" x14ac:dyDescent="0.3">
      <c r="B15" t="s">
        <v>37</v>
      </c>
      <c r="C15" t="s">
        <v>14</v>
      </c>
      <c r="D15">
        <v>135</v>
      </c>
      <c r="E15" s="17" t="s">
        <v>10</v>
      </c>
      <c r="F15" s="18">
        <v>44929</v>
      </c>
      <c r="G15" s="23">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998</v>
      </c>
      <c r="S15" s="2">
        <v>28</v>
      </c>
      <c r="T15" s="7" t="s">
        <v>1038</v>
      </c>
    </row>
    <row r="16" spans="2:20" x14ac:dyDescent="0.3">
      <c r="B16" t="s">
        <v>38</v>
      </c>
      <c r="C16" t="s">
        <v>24</v>
      </c>
      <c r="D16">
        <v>98</v>
      </c>
      <c r="E16" s="17" t="s">
        <v>9</v>
      </c>
      <c r="F16" s="18">
        <v>44930</v>
      </c>
      <c r="G16" s="23">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998</v>
      </c>
      <c r="S16" s="2">
        <v>37</v>
      </c>
      <c r="T16" s="7" t="s">
        <v>1037</v>
      </c>
    </row>
    <row r="17" spans="2:20" x14ac:dyDescent="0.3">
      <c r="B17" t="s">
        <v>39</v>
      </c>
      <c r="C17" t="s">
        <v>18</v>
      </c>
      <c r="D17">
        <v>139</v>
      </c>
      <c r="E17" s="17" t="s">
        <v>9</v>
      </c>
      <c r="F17" s="18">
        <v>44930</v>
      </c>
      <c r="G17" s="23">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998</v>
      </c>
      <c r="S17" s="2">
        <v>38</v>
      </c>
      <c r="T17" s="7" t="s">
        <v>1036</v>
      </c>
    </row>
    <row r="18" spans="2:20" x14ac:dyDescent="0.3">
      <c r="B18" t="s">
        <v>40</v>
      </c>
      <c r="C18" t="s">
        <v>14</v>
      </c>
      <c r="D18">
        <v>48</v>
      </c>
      <c r="E18" s="17" t="s">
        <v>11</v>
      </c>
      <c r="F18" s="18">
        <v>44930</v>
      </c>
      <c r="G18" s="23">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998</v>
      </c>
      <c r="S18" s="12">
        <v>43</v>
      </c>
      <c r="T18" s="13" t="s">
        <v>1037</v>
      </c>
    </row>
    <row r="19" spans="2:20" x14ac:dyDescent="0.3">
      <c r="B19" t="s">
        <v>41</v>
      </c>
      <c r="C19" t="s">
        <v>18</v>
      </c>
      <c r="D19">
        <v>176</v>
      </c>
      <c r="E19" s="17" t="s">
        <v>10</v>
      </c>
      <c r="F19" s="18">
        <v>44931</v>
      </c>
      <c r="G19" s="23">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s="23">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s="23">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s="23">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s="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s="23">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s="23">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s="23">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s="23">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s="23">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s="23">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s="23">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s="23">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s="23">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s="2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s="23">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s="23">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s="23">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s="23">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s="23">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s="23">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s="23">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s="23">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s="23">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s="2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s="23">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s="23">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s="23">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s="23">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s="23">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s="23">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s="23">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s="23">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s="23">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s="2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s="23">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s="23">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s="23">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s="23">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s="23">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s="23">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s="23">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s="23">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s="23">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s="2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s="23">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s="23">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s="23">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s="23">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s="23">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s="23">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s="23">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s="23">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s="23">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s="2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s="23">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s="23">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s="23">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s="23">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s="23">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s="23">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s="23">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s="23">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s="23">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s="2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s="23">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s="23">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s="23">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s="23">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s="23">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s="23">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s="23">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s="23">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s="23">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s="2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s="23">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s="23">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s="23">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s="23">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s="23">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s="23">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s="23">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s="23">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s="23">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s="2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s="23">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s="23">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s="23">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s="23">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s="23">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s="23">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s="23">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s="23">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s="23">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s="2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s="23">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s="23">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s="23">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s="23">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s="23">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s="23">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s="23">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s="23">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s="23">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s="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s="23">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s="23">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s="23">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s="23">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s="23">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s="23">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s="23">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s="23">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s="23">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s="2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s="23">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s="23">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s="23">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s="23">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s="23">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s="23">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s="23">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s="23">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s="23">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s="2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s="23">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s="23">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s="23">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s="23">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s="23">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s="23">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s="23">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s="23">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s="23">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s="2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s="23">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s="23">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s="23">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s="23">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s="23">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s="23">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s="23">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s="23">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s="23">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s="2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s="23">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s="23">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s="23">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s="23">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s="23">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s="23">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s="23">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s="23">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s="23">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s="2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s="23">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s="23">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s="23">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s="23">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s="23">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s="23">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s="23">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s="23">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s="23">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s="2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s="23">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s="23">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s="23">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s="23">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s="23">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s="23">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s="23">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s="23">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s="23">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s="2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s="23">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s="23">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s="23">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s="23">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s="23">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s="23">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s="23">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s="23">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s="23">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s="2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s="23">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s="23">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s="23">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s="23">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s="23">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s="23">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s="23">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s="23">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s="23">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s="2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s="23">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s="23">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s="23">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s="23">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s="23">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s="23">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s="23">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s="23">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s="23">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s="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s="23">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s="23">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s="23">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s="23">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s="23">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s="23">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s="23">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s="23">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s="23">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s="2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s="23">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s="23">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s="23">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s="23">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s="23">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s="23">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s="23">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s="23">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s="23">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s="2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s="23">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s="23">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s="23">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s="23">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s="23">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s="23">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s="23">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s="23">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s="23">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s="2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s="23">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s="23">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s="23">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s="23">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s="23">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s="23">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s="23">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s="23">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s="23">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s="2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s="23">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s="23">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s="23">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s="23">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s="23">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s="23">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s="23">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s="23">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s="23">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s="2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s="23">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s="23">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s="23">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s="23">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s="23">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s="23">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s="23">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s="23">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s="23">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s="2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s="23">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s="23">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s="23">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s="23">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s="23">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s="23">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s="23">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s="23">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s="23">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s="2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s="23">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s="23">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s="23">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s="23">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s="23">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s="23">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s="23">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s="23">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s="23">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s="2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s="23">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s="23">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s="23">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s="23">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s="23">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s="23">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s="23">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s="23">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s="23">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s="2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s="23">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s="23">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s="23">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s="23">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s="23">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s="23">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s="23">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s="23">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s="23">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s="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s="23">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s="23">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s="23">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s="23">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s="23">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s="23">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s="23">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s="23">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s="23">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s="2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s="23">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s="23">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s="23">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s="23">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s="23">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s="23">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s="23">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s="23">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s="23">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s="2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s="23">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s="23">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s="23">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s="23">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s="23">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s="23">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s="23">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s="23">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s="23">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s="2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s="23">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s="23">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s="23">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s="23">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s="23">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s="23">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s="23">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s="23">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s="23">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s="2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s="23">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s="23">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s="23">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s="23">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s="23">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s="23">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s="23">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s="23">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s="23">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s="2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s="23">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s="23">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s="23">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s="23">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s="23">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s="23">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s="23">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s="23">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s="23">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s="2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s="23">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s="23">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s="23">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s="23">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s="23">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s="23">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s="23">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s="23">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s="23">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s="2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s="23">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s="23">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s="23">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s="23">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s="23">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s="23">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s="23">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s="23">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s="23">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s="2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s="23">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s="23">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s="23">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s="23">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s="23">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s="23">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s="23">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s="23">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s="23">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s="2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s="23">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s="23">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s="23">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s="23">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s="23">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s="23">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s="23">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s="23">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s="23">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s="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s="23">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s="23">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s="23">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s="23">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s="23">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s="23">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s="23">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s="23">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s="23">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s="2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s="23">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s="23">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s="23">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s="23">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s="23">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s="23">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s="23">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s="23">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s="23">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s="2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s="23">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s="23">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s="23">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s="23">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s="23">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s="23">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s="23">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s="23">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s="23">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s="2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s="23">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s="23">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s="23">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s="23">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s="23">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s="23">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s="23">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s="23">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s="23">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s="2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s="23">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s="23">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s="23">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s="23">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s="23">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s="23">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s="23">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s="23">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s="23">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s="2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s="23">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s="23">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s="23">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s="23">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s="23">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s="23">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s="23">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s="23">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s="23">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s="2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s="23">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s="23">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s="23">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s="23">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s="23">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s="23">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s="23">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s="23">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s="23">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s="2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s="23">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s="23">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s="23">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s="23">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s="23">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s="23">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s="23">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s="23">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s="23">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s="2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s="23">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s="23">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s="23">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s="23">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s="23">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s="23">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s="23">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s="23">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s="23">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s="2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s="23">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s="23">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s="23">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s="23">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s="23">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s="23">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s="23">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s="23">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s="23">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s="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s="23">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s="23">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s="23">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s="23">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s="23">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s="23">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s="23">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s="23">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s="23">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s="2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s="23">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s="23">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s="23">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s="23">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s="23">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s="23">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s="23">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s="23">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s="23">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s="2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s="23">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s="23">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s="23">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s="23">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s="23">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s="23">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s="23">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s="23">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s="23">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s="2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s="23">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s="23">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s="23">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s="23">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s="23">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s="23">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s="23">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s="23">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s="23">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s="2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s="23">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s="23">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s="23">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s="23">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s="23">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s="23">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s="23">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s="23">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s="23">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s="2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s="23">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s="23">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s="23">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s="23">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s="23">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s="23">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s="23">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s="23">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s="23">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s="2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s="23">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s="23">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s="23">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s="23">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s="23">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s="23">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s="23">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s="23">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s="23">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s="2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s="23">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s="23">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s="23">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s="23">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s="23">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s="23">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s="23">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s="23">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s="23">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s="2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s="23">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s="23">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s="23">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s="23">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s="23">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s="23">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s="23">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s="23">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s="23">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s="2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s="23">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s="23">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s="23">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s="23">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s="23">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s="23">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s="23">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s="23">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s="23">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s="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s="23">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s="23">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s="23">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s="23">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s="23">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s="23">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s="23">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s="23">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s="23">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s="2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s="23">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s="23">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s="23">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s="23">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s="23">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s="23">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s="23">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s="23">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s="23">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s="2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s="23">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s="23">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s="23">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s="23">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s="23">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s="23">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s="23">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s="23">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s="23">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s="2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s="23">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s="23">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s="23">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s="23">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s="23">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s="23">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s="23">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s="23">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s="23">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s="2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s="23">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s="23">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s="23">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s="23">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s="23">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s="23">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s="23">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s="23">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s="23">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s="2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s="23">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s="23">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s="23">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s="23">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s="23">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s="23">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s="23">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s="23">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s="23">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s="2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s="23">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s="23">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s="23">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s="23">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s="23">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s="23">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s="23">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s="23">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s="23">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s="2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s="23">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s="23">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s="23">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s="23">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s="23">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s="23">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s="23">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s="23">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s="23">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s="2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s="23">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s="23">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s="23">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s="23">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s="23">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s="23">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s="23">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s="23">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s="23">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s="2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s="23">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s="23">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s="23">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s="23">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s="23">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s="23">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s="23">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s="23">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s="23">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s="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s="23">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s="23">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s="23">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s="23">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s="23">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s="23">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s="23">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s="23">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s="23">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s="2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s="23">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s="23">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s="23">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s="23">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s="23">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s="23">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s="23">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s="23">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s="23">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s="2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s="23">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s="23">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s="23">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s="23">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s="23">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s="23">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s="23">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s="23">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s="23">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s="2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s="23">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s="23">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s="23">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s="23">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s="23">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s="23">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s="23">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s="23">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s="23">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s="2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s="23">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s="23">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s="23">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s="23">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s="23">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s="23">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s="23">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s="23">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s="23">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s="2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s="23">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s="23">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s="23">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s="23">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s="23">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s="23">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s="23">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s="23">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s="23">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s="2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s="23">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s="23">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s="23">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s="23">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s="23">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s="23">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s="23">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s="23">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s="23">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s="2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s="23">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s="23">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s="23">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s="23">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s="23">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s="23">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s="23">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s="23">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s="23">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s="2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s="23">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s="23">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s="23">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s="23">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s="23">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s="23">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s="23">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s="23">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s="23">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s="2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s="23">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s="23">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s="23">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s="23">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s="23">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s="23">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s="23">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s="23">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s="23">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s="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s="23">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s="23">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s="23">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s="23">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s="23">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s="23">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s="23">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s="23">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s="23">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s="2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s="23">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s="23">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s="23">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s="23">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s="23">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s="23">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s="23">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s="23">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s="23">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s="2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s="23">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s="23">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s="23">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s="23">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s="23">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s="23">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s="23">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s="23">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s="23">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s="2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s="23">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s="23">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s="23">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s="23">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s="23">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s="23">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s="23">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s="23">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s="23">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s="2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s="23">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s="23">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s="23">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s="23">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s="23">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s="23">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s="23">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s="23">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s="23">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s="2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s="23">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s="23">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s="23">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s="23">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s="23">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s="23">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s="23">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s="23">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s="23">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s="2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s="23">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s="23">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s="23">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s="23">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s="23">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s="23">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s="23">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s="23">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s="23">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s="2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s="23">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s="23">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s="23">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s="23">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s="23">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s="23">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s="23">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s="23">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s="23">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s="2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s="23">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s="23">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s="23">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s="23">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s="23">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s="23">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s="23">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s="23">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s="23">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s="2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s="23">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s="23">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s="23">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s="23">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s="23">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s="23">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s="23">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s="23">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s="23">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s="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s="23">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s="23">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s="23">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s="23">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s="23">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s="23">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s="23">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s="23">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s="23">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s="2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s="23">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s="23">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s="23">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s="23">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s="23">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s="23">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s="23">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s="23">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s="23">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s="2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s="23">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s="23">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s="23">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s="23">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s="23">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s="23">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s="23">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s="23">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s="23">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s="2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s="23">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s="23">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s="23">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s="23">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s="23">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s="23">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s="23">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s="23">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s="23">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s="2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s="23">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s="23">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s="23">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s="23">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s="23">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s="23">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s="23">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s="23">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1000</v>
      </c>
      <c r="C972" t="s">
        <v>17</v>
      </c>
      <c r="D972">
        <v>151</v>
      </c>
      <c r="E972" s="17" t="s">
        <v>9</v>
      </c>
      <c r="F972" s="18">
        <v>45275</v>
      </c>
      <c r="G972" s="23">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1001</v>
      </c>
      <c r="C973" t="s">
        <v>5</v>
      </c>
      <c r="D973">
        <v>158</v>
      </c>
      <c r="E973" s="17" t="s">
        <v>10</v>
      </c>
      <c r="F973" s="18">
        <v>45276</v>
      </c>
      <c r="G973" s="2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1002</v>
      </c>
      <c r="C974" t="s">
        <v>23</v>
      </c>
      <c r="D974">
        <v>45</v>
      </c>
      <c r="E974" s="17" t="s">
        <v>10</v>
      </c>
      <c r="F974" s="18">
        <v>45276</v>
      </c>
      <c r="G974" s="23">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1003</v>
      </c>
      <c r="C975" t="s">
        <v>24</v>
      </c>
      <c r="D975">
        <v>141</v>
      </c>
      <c r="E975" s="17" t="s">
        <v>10</v>
      </c>
      <c r="F975" s="18">
        <v>45276</v>
      </c>
      <c r="G975" s="23">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1004</v>
      </c>
      <c r="C976" t="s">
        <v>18</v>
      </c>
      <c r="D976">
        <v>147</v>
      </c>
      <c r="E976" s="17" t="s">
        <v>13</v>
      </c>
      <c r="F976" s="18">
        <v>45276</v>
      </c>
      <c r="G976" s="23">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1005</v>
      </c>
      <c r="C977" t="s">
        <v>19</v>
      </c>
      <c r="D977">
        <v>126</v>
      </c>
      <c r="E977" s="17" t="s">
        <v>13</v>
      </c>
      <c r="F977" s="18">
        <v>45276</v>
      </c>
      <c r="G977" s="23">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1006</v>
      </c>
      <c r="C978" t="s">
        <v>23</v>
      </c>
      <c r="D978">
        <v>126</v>
      </c>
      <c r="E978" s="17" t="s">
        <v>11</v>
      </c>
      <c r="F978" s="18">
        <v>45277</v>
      </c>
      <c r="G978" s="23">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1007</v>
      </c>
      <c r="C979" t="s">
        <v>14</v>
      </c>
      <c r="D979">
        <v>32</v>
      </c>
      <c r="E979" s="17" t="s">
        <v>13</v>
      </c>
      <c r="F979" s="18">
        <v>45277</v>
      </c>
      <c r="G979" s="23">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1008</v>
      </c>
      <c r="C980" t="s">
        <v>23</v>
      </c>
      <c r="D980">
        <v>84</v>
      </c>
      <c r="E980" s="17" t="s">
        <v>6</v>
      </c>
      <c r="F980" s="18">
        <v>45279</v>
      </c>
      <c r="G980" s="23">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1009</v>
      </c>
      <c r="C981" t="s">
        <v>22</v>
      </c>
      <c r="D981">
        <v>120</v>
      </c>
      <c r="E981" s="17" t="s">
        <v>11</v>
      </c>
      <c r="F981" s="18">
        <v>45280</v>
      </c>
      <c r="G981" s="23">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1010</v>
      </c>
      <c r="C982" t="s">
        <v>8</v>
      </c>
      <c r="D982">
        <v>93</v>
      </c>
      <c r="E982" s="17" t="s">
        <v>13</v>
      </c>
      <c r="F982" s="18">
        <v>45280</v>
      </c>
      <c r="G982" s="23">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1011</v>
      </c>
      <c r="C983" t="s">
        <v>15</v>
      </c>
      <c r="D983">
        <v>76</v>
      </c>
      <c r="E983" s="17" t="s">
        <v>9</v>
      </c>
      <c r="F983" s="18">
        <v>45281</v>
      </c>
      <c r="G983" s="2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1012</v>
      </c>
      <c r="C984" t="s">
        <v>5</v>
      </c>
      <c r="D984">
        <v>89</v>
      </c>
      <c r="E984" s="17" t="s">
        <v>13</v>
      </c>
      <c r="F984" s="18">
        <v>45284</v>
      </c>
      <c r="G984" s="23">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1013</v>
      </c>
      <c r="C985" t="s">
        <v>21</v>
      </c>
      <c r="D985">
        <v>91</v>
      </c>
      <c r="E985" s="17" t="s">
        <v>6</v>
      </c>
      <c r="F985" s="18">
        <v>45284</v>
      </c>
      <c r="G985" s="23">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1014</v>
      </c>
      <c r="C986" t="s">
        <v>7</v>
      </c>
      <c r="D986">
        <v>7</v>
      </c>
      <c r="E986" s="17" t="s">
        <v>10</v>
      </c>
      <c r="F986" s="18">
        <v>45285</v>
      </c>
      <c r="G986" s="23">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1015</v>
      </c>
      <c r="C987" t="s">
        <v>14</v>
      </c>
      <c r="D987">
        <v>140</v>
      </c>
      <c r="E987" s="17" t="s">
        <v>10</v>
      </c>
      <c r="F987" s="18">
        <v>45285</v>
      </c>
      <c r="G987" s="23">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1016</v>
      </c>
      <c r="C988" t="s">
        <v>12</v>
      </c>
      <c r="D988">
        <v>58</v>
      </c>
      <c r="E988" s="17" t="s">
        <v>11</v>
      </c>
      <c r="F988" s="18">
        <v>45285</v>
      </c>
      <c r="G988" s="23">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1017</v>
      </c>
      <c r="C989" t="s">
        <v>20</v>
      </c>
      <c r="D989">
        <v>90</v>
      </c>
      <c r="E989" s="17" t="s">
        <v>9</v>
      </c>
      <c r="F989" s="18">
        <v>45286</v>
      </c>
      <c r="G989" s="23">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1018</v>
      </c>
      <c r="C990" t="s">
        <v>20</v>
      </c>
      <c r="D990">
        <v>106</v>
      </c>
      <c r="E990" s="17" t="s">
        <v>13</v>
      </c>
      <c r="F990" s="18">
        <v>45287</v>
      </c>
      <c r="G990" s="23">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1019</v>
      </c>
      <c r="C991" t="s">
        <v>22</v>
      </c>
      <c r="D991">
        <v>72</v>
      </c>
      <c r="E991" s="17" t="s">
        <v>10</v>
      </c>
      <c r="F991" s="18">
        <v>45287</v>
      </c>
      <c r="G991" s="23">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1020</v>
      </c>
      <c r="C992" t="s">
        <v>7</v>
      </c>
      <c r="D992">
        <v>124</v>
      </c>
      <c r="E992" s="17" t="s">
        <v>10</v>
      </c>
      <c r="F992" s="18">
        <v>45288</v>
      </c>
      <c r="G992" s="23">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1021</v>
      </c>
      <c r="C993" t="s">
        <v>24</v>
      </c>
      <c r="D993">
        <v>86</v>
      </c>
      <c r="E993" s="17" t="s">
        <v>6</v>
      </c>
      <c r="F993" s="18">
        <v>45288</v>
      </c>
      <c r="G993" s="2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1022</v>
      </c>
      <c r="C994" t="s">
        <v>23</v>
      </c>
      <c r="D994">
        <v>164</v>
      </c>
      <c r="E994" s="17" t="s">
        <v>6</v>
      </c>
      <c r="F994" s="18">
        <v>45289</v>
      </c>
      <c r="G994" s="23">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1023</v>
      </c>
      <c r="C995" t="s">
        <v>8</v>
      </c>
      <c r="D995">
        <v>40</v>
      </c>
      <c r="E995" s="17" t="s">
        <v>9</v>
      </c>
      <c r="F995" s="18">
        <v>45289</v>
      </c>
      <c r="G995" s="23">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1024</v>
      </c>
      <c r="C996" t="s">
        <v>21</v>
      </c>
      <c r="D996">
        <v>76</v>
      </c>
      <c r="E996" s="17" t="s">
        <v>11</v>
      </c>
      <c r="F996" s="18">
        <v>45289</v>
      </c>
      <c r="G996" s="23">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1025</v>
      </c>
      <c r="C997" t="s">
        <v>7</v>
      </c>
      <c r="D997">
        <v>95</v>
      </c>
      <c r="E997" s="17" t="s">
        <v>13</v>
      </c>
      <c r="F997" s="18">
        <v>45289</v>
      </c>
      <c r="G997" s="23">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1026</v>
      </c>
      <c r="C998" t="s">
        <v>21</v>
      </c>
      <c r="D998">
        <v>113</v>
      </c>
      <c r="E998" s="17" t="s">
        <v>10</v>
      </c>
      <c r="F998" s="18">
        <v>45290</v>
      </c>
      <c r="G998" s="23">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1027</v>
      </c>
      <c r="C999" t="s">
        <v>24</v>
      </c>
      <c r="D999">
        <v>81</v>
      </c>
      <c r="E999" s="17" t="s">
        <v>10</v>
      </c>
      <c r="F999" s="18">
        <v>45290</v>
      </c>
      <c r="G999" s="23">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1028</v>
      </c>
      <c r="C1000" t="s">
        <v>15</v>
      </c>
      <c r="D1000">
        <v>127</v>
      </c>
      <c r="E1000" s="17" t="s">
        <v>13</v>
      </c>
      <c r="F1000" s="18">
        <v>45290</v>
      </c>
      <c r="G1000" s="23">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1029</v>
      </c>
      <c r="C1001" t="s">
        <v>14</v>
      </c>
      <c r="D1001">
        <v>146</v>
      </c>
      <c r="E1001" s="17" t="s">
        <v>10</v>
      </c>
      <c r="F1001" s="18">
        <v>45291</v>
      </c>
      <c r="G1001" s="23">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1030</v>
      </c>
      <c r="C1002" t="s">
        <v>18</v>
      </c>
      <c r="D1002">
        <v>123</v>
      </c>
      <c r="E1002" s="17" t="s">
        <v>10</v>
      </c>
      <c r="F1002" s="18">
        <v>45291</v>
      </c>
      <c r="G1002" s="23">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1031</v>
      </c>
      <c r="C1003" t="s">
        <v>22</v>
      </c>
      <c r="D1003">
        <v>114</v>
      </c>
      <c r="E1003" s="17" t="s">
        <v>11</v>
      </c>
      <c r="F1003" s="18">
        <v>45291</v>
      </c>
      <c r="G1003" s="2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E9C13-D3D4-4331-91C7-D3F129342D8C}">
  <dimension ref="M6:AF43"/>
  <sheetViews>
    <sheetView tabSelected="1" topLeftCell="B1" zoomScale="59" zoomScaleNormal="107" workbookViewId="0">
      <selection activeCell="AE26" sqref="AE26"/>
    </sheetView>
  </sheetViews>
  <sheetFormatPr defaultRowHeight="14.4" x14ac:dyDescent="0.3"/>
  <cols>
    <col min="1" max="2" width="2.5" style="20" customWidth="1"/>
    <col min="3" max="21" width="8.796875" style="20"/>
    <col min="22" max="22" width="11.5" style="20" customWidth="1"/>
    <col min="23" max="23" width="12.19921875" style="20" customWidth="1"/>
    <col min="24" max="27" width="11.296875" style="20" bestFit="1" customWidth="1"/>
    <col min="28" max="28" width="15" style="20" customWidth="1"/>
    <col min="29" max="16384" width="8.796875" style="20"/>
  </cols>
  <sheetData>
    <row r="6" spans="13:13" ht="13.8" customHeight="1" x14ac:dyDescent="0.3"/>
    <row r="10" spans="13:13" x14ac:dyDescent="0.3">
      <c r="M10" s="20">
        <f>Sheet1!A4</f>
        <v>0</v>
      </c>
    </row>
    <row r="21" spans="22:32" x14ac:dyDescent="0.3">
      <c r="W21" s="31" t="str" cm="1">
        <f t="array" ref="W21:AA21">Sheet2!B101:F101</f>
        <v>R01</v>
      </c>
      <c r="X21" s="31" t="str">
        <v>R02</v>
      </c>
      <c r="Y21" s="31" t="str">
        <v>R03</v>
      </c>
      <c r="Z21" s="31" t="str">
        <v>R04</v>
      </c>
      <c r="AA21" s="31" t="str">
        <v>R05</v>
      </c>
      <c r="AB21" s="31" t="s">
        <v>1044</v>
      </c>
    </row>
    <row r="22" spans="22:32" x14ac:dyDescent="0.3">
      <c r="V22" s="31" t="str" cm="1">
        <f t="array" ref="V22:AB39">IF(Sheet2!A102:G119="","",Sheet2!A102:G119)</f>
        <v>Delhi</v>
      </c>
      <c r="W22" s="34" t="str">
        <v/>
      </c>
      <c r="X22" s="34" t="str">
        <v/>
      </c>
      <c r="Y22" s="34" t="str">
        <v/>
      </c>
      <c r="Z22" s="34" t="str">
        <v/>
      </c>
      <c r="AA22" s="34" t="str">
        <v/>
      </c>
      <c r="AB22" s="34" t="str">
        <v/>
      </c>
      <c r="AC22" s="35"/>
    </row>
    <row r="23" spans="22:32" x14ac:dyDescent="0.3">
      <c r="V23" s="32" t="str">
        <v>C0001</v>
      </c>
      <c r="W23" s="35">
        <v>1655</v>
      </c>
      <c r="X23" s="35">
        <v>805</v>
      </c>
      <c r="Y23" s="35">
        <v>2263</v>
      </c>
      <c r="Z23" s="35">
        <v>987</v>
      </c>
      <c r="AA23" s="35">
        <v>1075</v>
      </c>
      <c r="AB23" s="36">
        <v>6785</v>
      </c>
      <c r="AC23" s="35"/>
      <c r="AD23" s="35"/>
      <c r="AE23" s="35"/>
      <c r="AF23" s="35"/>
    </row>
    <row r="24" spans="22:32" x14ac:dyDescent="0.3">
      <c r="V24" s="32" t="str">
        <v>C0005</v>
      </c>
      <c r="W24" s="35">
        <v>1104</v>
      </c>
      <c r="X24" s="35">
        <v>2280</v>
      </c>
      <c r="Y24" s="35">
        <v>1445</v>
      </c>
      <c r="Z24" s="35">
        <v>1722</v>
      </c>
      <c r="AA24" s="35">
        <v>1196</v>
      </c>
      <c r="AB24" s="35">
        <v>7747</v>
      </c>
    </row>
    <row r="25" spans="22:32" x14ac:dyDescent="0.3">
      <c r="V25" s="32" t="str">
        <v>C0006</v>
      </c>
      <c r="W25" s="35">
        <v>372</v>
      </c>
      <c r="X25" s="35">
        <v>1818</v>
      </c>
      <c r="Y25" s="35">
        <v>1346</v>
      </c>
      <c r="Z25" s="35">
        <v>1156</v>
      </c>
      <c r="AA25" s="35">
        <v>1484</v>
      </c>
      <c r="AB25" s="35">
        <v>6176</v>
      </c>
    </row>
    <row r="26" spans="22:32" x14ac:dyDescent="0.3">
      <c r="V26" s="32" t="str">
        <v>C0009</v>
      </c>
      <c r="W26" s="35">
        <v>1415</v>
      </c>
      <c r="X26" s="35">
        <v>1271</v>
      </c>
      <c r="Y26" s="35">
        <v>1214</v>
      </c>
      <c r="Z26" s="35">
        <v>1135</v>
      </c>
      <c r="AA26" s="35">
        <v>1566</v>
      </c>
      <c r="AB26" s="35">
        <v>6601</v>
      </c>
    </row>
    <row r="27" spans="22:32" x14ac:dyDescent="0.3">
      <c r="V27" s="32" t="str">
        <v>C0014</v>
      </c>
      <c r="W27" s="35">
        <v>1362</v>
      </c>
      <c r="X27" s="35">
        <v>1363</v>
      </c>
      <c r="Y27" s="35">
        <v>1152</v>
      </c>
      <c r="Z27" s="35">
        <v>777</v>
      </c>
      <c r="AA27" s="35">
        <v>750</v>
      </c>
      <c r="AB27" s="35">
        <v>5404</v>
      </c>
    </row>
    <row r="28" spans="22:32" x14ac:dyDescent="0.3">
      <c r="V28" s="31" t="str">
        <v>Jaipur</v>
      </c>
      <c r="W28" s="35" t="str">
        <v/>
      </c>
      <c r="X28" s="35" t="str">
        <v/>
      </c>
      <c r="Y28" s="35" t="str">
        <v/>
      </c>
      <c r="Z28" s="35" t="str">
        <v/>
      </c>
      <c r="AA28" s="35" t="str">
        <v/>
      </c>
      <c r="AB28" s="34" t="str">
        <v/>
      </c>
    </row>
    <row r="29" spans="22:32" x14ac:dyDescent="0.3">
      <c r="V29" s="32" t="str">
        <v>C0003</v>
      </c>
      <c r="W29" s="35">
        <v>891</v>
      </c>
      <c r="X29" s="35">
        <v>1332</v>
      </c>
      <c r="Y29" s="35">
        <v>1282</v>
      </c>
      <c r="Z29" s="35">
        <v>739</v>
      </c>
      <c r="AA29" s="35">
        <v>560</v>
      </c>
      <c r="AB29" s="35">
        <v>4804</v>
      </c>
      <c r="AF29" s="33"/>
    </row>
    <row r="30" spans="22:32" x14ac:dyDescent="0.3">
      <c r="V30" s="32" t="str">
        <v>C0004</v>
      </c>
      <c r="W30" s="35">
        <v>1991</v>
      </c>
      <c r="X30" s="35">
        <v>1886</v>
      </c>
      <c r="Y30" s="35">
        <v>1206</v>
      </c>
      <c r="Z30" s="35">
        <v>884</v>
      </c>
      <c r="AA30" s="35">
        <v>1722</v>
      </c>
      <c r="AB30" s="35">
        <v>7689</v>
      </c>
    </row>
    <row r="31" spans="22:32" x14ac:dyDescent="0.3">
      <c r="V31" s="32" t="str">
        <v>C0011</v>
      </c>
      <c r="W31" s="35">
        <v>1163</v>
      </c>
      <c r="X31" s="35">
        <v>1180</v>
      </c>
      <c r="Y31" s="35">
        <v>1616</v>
      </c>
      <c r="Z31" s="35">
        <v>1043</v>
      </c>
      <c r="AA31" s="35">
        <v>1747</v>
      </c>
      <c r="AB31" s="35">
        <v>6749</v>
      </c>
    </row>
    <row r="32" spans="22:32" x14ac:dyDescent="0.3">
      <c r="V32" s="32" t="str">
        <v>C0012</v>
      </c>
      <c r="W32" s="35">
        <v>1438</v>
      </c>
      <c r="X32" s="35">
        <v>1616</v>
      </c>
      <c r="Y32" s="35">
        <v>866</v>
      </c>
      <c r="Z32" s="35">
        <v>829</v>
      </c>
      <c r="AA32" s="35">
        <v>2070</v>
      </c>
      <c r="AB32" s="35">
        <v>6819</v>
      </c>
    </row>
    <row r="33" spans="22:28" x14ac:dyDescent="0.3">
      <c r="V33" s="31" t="str">
        <v>Mumbai</v>
      </c>
      <c r="W33" s="35" t="str">
        <v/>
      </c>
      <c r="X33" s="35" t="str">
        <v/>
      </c>
      <c r="Y33" s="35" t="str">
        <v/>
      </c>
      <c r="Z33" s="35" t="str">
        <v/>
      </c>
      <c r="AA33" s="35" t="str">
        <v/>
      </c>
      <c r="AB33" s="34" t="str">
        <v/>
      </c>
    </row>
    <row r="34" spans="22:28" x14ac:dyDescent="0.3">
      <c r="V34" s="32" t="str">
        <v>C0002</v>
      </c>
      <c r="W34" s="35">
        <v>1233</v>
      </c>
      <c r="X34" s="35">
        <v>223</v>
      </c>
      <c r="Y34" s="35">
        <v>1680</v>
      </c>
      <c r="Z34" s="35">
        <v>990</v>
      </c>
      <c r="AA34" s="35">
        <v>1508</v>
      </c>
      <c r="AB34" s="35">
        <v>5634</v>
      </c>
    </row>
    <row r="35" spans="22:28" x14ac:dyDescent="0.3">
      <c r="V35" s="32" t="str">
        <v>C0007</v>
      </c>
      <c r="W35" s="35">
        <v>1598</v>
      </c>
      <c r="X35" s="35">
        <v>1907</v>
      </c>
      <c r="Y35" s="35">
        <v>869</v>
      </c>
      <c r="Z35" s="35">
        <v>1426</v>
      </c>
      <c r="AA35" s="35">
        <v>1416</v>
      </c>
      <c r="AB35" s="35">
        <v>7216</v>
      </c>
    </row>
    <row r="36" spans="22:28" x14ac:dyDescent="0.3">
      <c r="V36" s="32" t="str">
        <v>C0008</v>
      </c>
      <c r="W36" s="35">
        <v>900</v>
      </c>
      <c r="X36" s="35">
        <v>1016</v>
      </c>
      <c r="Y36" s="35">
        <v>960</v>
      </c>
      <c r="Z36" s="35">
        <v>940</v>
      </c>
      <c r="AA36" s="35">
        <v>1193</v>
      </c>
      <c r="AB36" s="35">
        <v>5009</v>
      </c>
    </row>
    <row r="37" spans="22:28" x14ac:dyDescent="0.3">
      <c r="V37" s="32" t="str">
        <v>C0010</v>
      </c>
      <c r="W37" s="35">
        <v>900</v>
      </c>
      <c r="X37" s="35">
        <v>1470</v>
      </c>
      <c r="Y37" s="35">
        <v>1617</v>
      </c>
      <c r="Z37" s="35">
        <v>1314</v>
      </c>
      <c r="AA37" s="35">
        <v>941</v>
      </c>
      <c r="AB37" s="35">
        <v>6242</v>
      </c>
    </row>
    <row r="38" spans="22:28" x14ac:dyDescent="0.3">
      <c r="V38" s="32" t="str">
        <v>C0013</v>
      </c>
      <c r="W38" s="35">
        <v>1255</v>
      </c>
      <c r="X38" s="35">
        <v>516</v>
      </c>
      <c r="Y38" s="35">
        <v>1874</v>
      </c>
      <c r="Z38" s="35">
        <v>1863</v>
      </c>
      <c r="AA38" s="35">
        <v>1722</v>
      </c>
      <c r="AB38" s="35">
        <v>7230</v>
      </c>
    </row>
    <row r="39" spans="22:28" x14ac:dyDescent="0.3">
      <c r="V39" s="32" t="str">
        <v>C0015</v>
      </c>
      <c r="W39" s="35">
        <v>1138</v>
      </c>
      <c r="X39" s="35">
        <v>1898</v>
      </c>
      <c r="Y39" s="35">
        <v>1482</v>
      </c>
      <c r="Z39" s="35">
        <v>846</v>
      </c>
      <c r="AA39" s="35">
        <v>1154</v>
      </c>
      <c r="AB39" s="35">
        <v>6518</v>
      </c>
    </row>
    <row r="40" spans="22:28" x14ac:dyDescent="0.3">
      <c r="V40" s="31"/>
      <c r="W40" s="31"/>
      <c r="X40" s="31"/>
      <c r="Y40" s="31"/>
      <c r="Z40" s="31"/>
      <c r="AA40" s="31"/>
      <c r="AB40" s="31"/>
    </row>
    <row r="41" spans="22:28" x14ac:dyDescent="0.3">
      <c r="V41" s="31"/>
      <c r="W41" s="31"/>
      <c r="X41" s="31"/>
      <c r="Y41" s="31"/>
      <c r="Z41" s="31"/>
      <c r="AA41" s="31"/>
      <c r="AB41" s="31"/>
    </row>
    <row r="42" spans="22:28" x14ac:dyDescent="0.3">
      <c r="V42" s="31"/>
      <c r="W42" s="31"/>
      <c r="X42" s="31"/>
      <c r="Y42" s="31"/>
      <c r="Z42" s="31"/>
      <c r="AA42" s="31"/>
      <c r="AB42" s="31"/>
    </row>
    <row r="43" spans="22:28" x14ac:dyDescent="0.3">
      <c r="V43" s="31"/>
      <c r="W43" s="31"/>
      <c r="X43" s="31"/>
      <c r="Y43" s="31"/>
      <c r="Z43" s="31"/>
      <c r="AA43" s="31"/>
      <c r="AB43" s="31"/>
    </row>
  </sheetData>
  <conditionalFormatting sqref="W23:AA39 AC23:AE23 AC22">
    <cfRule type="dataBar" priority="1">
      <dataBar>
        <cfvo type="num" val="0"/>
        <cfvo type="formula" val="MAX($W$3:$AA$23+$W$23:$AA$39)*2"/>
        <color rgb="FF638EC6"/>
      </dataBar>
      <extLst>
        <ext xmlns:x14="http://schemas.microsoft.com/office/spreadsheetml/2009/9/main" uri="{B025F937-C7B1-47D3-B67F-A62EFF666E3E}">
          <x14:id>{F787D69F-9687-4324-B9DF-9A268A88E6C8}</x14:id>
        </ext>
      </extLst>
    </cfRule>
  </conditionalFormatting>
  <conditionalFormatting sqref="W23:AA39">
    <cfRule type="dataBar" priority="4">
      <dataBar>
        <cfvo type="num" val="0"/>
        <cfvo type="formula" val="MAX($W$23:$AA$39)*2"/>
        <color rgb="FF002060"/>
      </dataBar>
      <extLst>
        <ext xmlns:x14="http://schemas.microsoft.com/office/spreadsheetml/2009/9/main" uri="{B025F937-C7B1-47D3-B67F-A62EFF666E3E}">
          <x14:id>{5224A397-C357-424F-9E39-755BAF207ACA}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787D69F-9687-4324-B9DF-9A268A88E6C8}">
            <x14:dataBar minLength="0" maxLength="100" gradient="0">
              <x14:cfvo type="num">
                <xm:f>0</xm:f>
              </x14:cfvo>
              <x14:cfvo type="formula">
                <xm:f>MAX($W$3:$AA$23+$W$23:$AA$39)*2</xm:f>
              </x14:cfvo>
              <x14:negativeFillColor rgb="FFFF0000"/>
              <x14:axisColor rgb="FF000000"/>
            </x14:dataBar>
          </x14:cfRule>
          <xm:sqref>W23:AA39 AC23:AE23 AC22</xm:sqref>
        </x14:conditionalFormatting>
        <x14:conditionalFormatting xmlns:xm="http://schemas.microsoft.com/office/excel/2006/main">
          <x14:cfRule type="dataBar" id="{5224A397-C357-424F-9E39-755BAF207ACA}">
            <x14:dataBar minLength="0" maxLength="100" gradient="0">
              <x14:cfvo type="num">
                <xm:f>0</xm:f>
              </x14:cfvo>
              <x14:cfvo type="formula">
                <xm:f>MAX($W$23:$AA$39)*2</xm:f>
              </x14:cfvo>
              <x14:negativeFillColor rgb="FFFF0000"/>
              <x14:axisColor rgb="FF000000"/>
            </x14:dataBar>
          </x14:cfRule>
          <xm:sqref>W23:AA39</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NISHANT PARIHAR</cp:lastModifiedBy>
  <dcterms:created xsi:type="dcterms:W3CDTF">2021-03-14T20:21:32Z</dcterms:created>
  <dcterms:modified xsi:type="dcterms:W3CDTF">2026-02-13T13:21:24Z</dcterms:modified>
</cp:coreProperties>
</file>